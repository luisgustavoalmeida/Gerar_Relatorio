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/>
  </bookViews>
  <sheets>
    <sheet name="FICHA TEMPO" sheetId="1" r:id="rId1"/>
    <sheet name="FECHAMENTO_HH" sheetId="2" r:id="rId2"/>
  </sheets>
  <definedNames>
    <definedName name="_xlnm.Print_Area" localSheetId="0">'FICHA TEMPO'!$A$1:$W$49</definedName>
  </definedNames>
  <calcPr calcId="145621" iterate="1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1" l="1"/>
  <c r="V41" i="1"/>
  <c r="Q41" i="1"/>
  <c r="AD40" i="1"/>
  <c r="AC40" i="1"/>
  <c r="AB40" i="1"/>
  <c r="AA40" i="1"/>
  <c r="N40" i="1" s="1"/>
  <c r="AD39" i="1"/>
  <c r="AC39" i="1"/>
  <c r="AB39" i="1"/>
  <c r="AA39" i="1"/>
  <c r="N39" i="1"/>
  <c r="AD38" i="1"/>
  <c r="N38" i="1" s="1"/>
  <c r="AC38" i="1"/>
  <c r="AB38" i="1"/>
  <c r="AA38" i="1"/>
  <c r="AD37" i="1"/>
  <c r="AC37" i="1"/>
  <c r="AB37" i="1"/>
  <c r="AA37" i="1"/>
  <c r="AD36" i="1"/>
  <c r="N36" i="1" s="1"/>
  <c r="AC36" i="1"/>
  <c r="AB36" i="1"/>
  <c r="AA36" i="1"/>
  <c r="AD35" i="1"/>
  <c r="AC35" i="1"/>
  <c r="AB35" i="1"/>
  <c r="AA35" i="1"/>
  <c r="AD34" i="1"/>
  <c r="N34" i="1" s="1"/>
  <c r="AC34" i="1"/>
  <c r="AB34" i="1"/>
  <c r="AA34" i="1"/>
  <c r="AD33" i="1"/>
  <c r="AC33" i="1"/>
  <c r="AB33" i="1"/>
  <c r="AA33" i="1"/>
  <c r="N33" i="1"/>
  <c r="AD32" i="1"/>
  <c r="AC32" i="1"/>
  <c r="AB32" i="1"/>
  <c r="AA32" i="1"/>
  <c r="N32" i="1" s="1"/>
  <c r="AD31" i="1"/>
  <c r="N31" i="1" s="1"/>
  <c r="AC31" i="1"/>
  <c r="AB31" i="1"/>
  <c r="AA31" i="1"/>
  <c r="AD30" i="1"/>
  <c r="AC30" i="1"/>
  <c r="AB30" i="1"/>
  <c r="AA30" i="1"/>
  <c r="AD29" i="1"/>
  <c r="AC29" i="1"/>
  <c r="AB29" i="1"/>
  <c r="AA29" i="1"/>
  <c r="N29" i="1" s="1"/>
  <c r="AD28" i="1"/>
  <c r="AC28" i="1"/>
  <c r="AB28" i="1"/>
  <c r="AA28" i="1"/>
  <c r="N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N25" i="1" s="1"/>
  <c r="AD24" i="1"/>
  <c r="AC24" i="1"/>
  <c r="AB24" i="1"/>
  <c r="AA24" i="1"/>
  <c r="N24" i="1"/>
  <c r="AD23" i="1"/>
  <c r="AC23" i="1"/>
  <c r="AB23" i="1"/>
  <c r="AA23" i="1"/>
  <c r="AD22" i="1"/>
  <c r="N22" i="1" s="1"/>
  <c r="AC22" i="1"/>
  <c r="AB22" i="1"/>
  <c r="AA22" i="1"/>
  <c r="AD21" i="1"/>
  <c r="AC21" i="1"/>
  <c r="AB21" i="1"/>
  <c r="AA21" i="1"/>
  <c r="N21" i="1"/>
  <c r="AD20" i="1"/>
  <c r="N20" i="1" s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N16" i="1" s="1"/>
  <c r="AC16" i="1"/>
  <c r="AB16" i="1"/>
  <c r="AA16" i="1"/>
  <c r="AD15" i="1"/>
  <c r="N15" i="1" s="1"/>
  <c r="AC15" i="1"/>
  <c r="AB15" i="1"/>
  <c r="AA15" i="1"/>
  <c r="AD14" i="1"/>
  <c r="AC14" i="1"/>
  <c r="AB14" i="1"/>
  <c r="AA14" i="1"/>
  <c r="AD13" i="1"/>
  <c r="AC13" i="1"/>
  <c r="AB13" i="1"/>
  <c r="AA13" i="1"/>
  <c r="AD12" i="1"/>
  <c r="AC12" i="1"/>
  <c r="AB12" i="1"/>
  <c r="AA12" i="1"/>
  <c r="N12" i="1"/>
  <c r="AD11" i="1"/>
  <c r="AC11" i="1"/>
  <c r="AB11" i="1"/>
  <c r="AA11" i="1"/>
  <c r="AD10" i="1"/>
  <c r="AC10" i="1"/>
  <c r="AB10" i="1"/>
  <c r="AA10" i="1"/>
  <c r="A10" i="1"/>
  <c r="A11" i="1" s="1"/>
  <c r="F1" i="1"/>
  <c r="N13" i="1" l="1"/>
  <c r="N17" i="1"/>
  <c r="N35" i="1"/>
  <c r="N11" i="1"/>
  <c r="N18" i="1"/>
  <c r="N27" i="1"/>
  <c r="N10" i="1"/>
  <c r="N19" i="1"/>
  <c r="N26" i="1"/>
  <c r="N37" i="1"/>
  <c r="N14" i="1"/>
  <c r="N23" i="1"/>
  <c r="N30" i="1"/>
  <c r="M10" i="1"/>
  <c r="B10" i="1"/>
  <c r="A12" i="1"/>
  <c r="K11" i="1"/>
  <c r="L11" i="1" s="1"/>
  <c r="B11" i="1"/>
  <c r="M11" i="1"/>
  <c r="K10" i="1"/>
  <c r="N41" i="1" l="1"/>
  <c r="B6" i="2" s="1"/>
  <c r="C6" i="2" s="1"/>
  <c r="L10" i="1"/>
  <c r="M12" i="1"/>
  <c r="A13" i="1"/>
  <c r="K12" i="1"/>
  <c r="B12" i="1"/>
  <c r="L12" i="1" l="1"/>
  <c r="M13" i="1"/>
  <c r="A14" i="1"/>
  <c r="K13" i="1"/>
  <c r="L13" i="1" s="1"/>
  <c r="B13" i="1"/>
  <c r="M14" i="1" l="1"/>
  <c r="A15" i="1"/>
  <c r="K14" i="1"/>
  <c r="L14" i="1" s="1"/>
  <c r="B14" i="1"/>
  <c r="A16" i="1" l="1"/>
  <c r="K15" i="1"/>
  <c r="L15" i="1" s="1"/>
  <c r="B15" i="1"/>
  <c r="M15" i="1"/>
  <c r="M16" i="1" l="1"/>
  <c r="A17" i="1"/>
  <c r="K16" i="1"/>
  <c r="L16" i="1" s="1"/>
  <c r="B16" i="1"/>
  <c r="M17" i="1" l="1"/>
  <c r="A18" i="1"/>
  <c r="K17" i="1"/>
  <c r="L17" i="1" s="1"/>
  <c r="B17" i="1"/>
  <c r="B18" i="1" l="1"/>
  <c r="M18" i="1"/>
  <c r="A19" i="1"/>
  <c r="K18" i="1"/>
  <c r="L18" i="1" s="1"/>
  <c r="A20" i="1" l="1"/>
  <c r="K19" i="1"/>
  <c r="L19" i="1" s="1"/>
  <c r="B19" i="1"/>
  <c r="M19" i="1"/>
  <c r="B20" i="1" l="1"/>
  <c r="M20" i="1"/>
  <c r="A21" i="1"/>
  <c r="K20" i="1"/>
  <c r="L20" i="1" s="1"/>
  <c r="M21" i="1" l="1"/>
  <c r="A22" i="1"/>
  <c r="K21" i="1"/>
  <c r="L21" i="1" s="1"/>
  <c r="B21" i="1"/>
  <c r="B22" i="1" l="1"/>
  <c r="M22" i="1"/>
  <c r="A23" i="1"/>
  <c r="K22" i="1"/>
  <c r="L22" i="1" s="1"/>
  <c r="A24" i="1" l="1"/>
  <c r="K23" i="1"/>
  <c r="L23" i="1" s="1"/>
  <c r="B23" i="1"/>
  <c r="M23" i="1"/>
  <c r="B24" i="1" l="1"/>
  <c r="M24" i="1"/>
  <c r="A25" i="1"/>
  <c r="K24" i="1"/>
  <c r="L24" i="1" s="1"/>
  <c r="M25" i="1" l="1"/>
  <c r="A26" i="1"/>
  <c r="K25" i="1"/>
  <c r="L25" i="1" s="1"/>
  <c r="B25" i="1"/>
  <c r="M26" i="1" l="1"/>
  <c r="A27" i="1"/>
  <c r="K26" i="1"/>
  <c r="L26" i="1" s="1"/>
  <c r="B26" i="1"/>
  <c r="A28" i="1" l="1"/>
  <c r="K27" i="1"/>
  <c r="L27" i="1" s="1"/>
  <c r="B27" i="1"/>
  <c r="M27" i="1"/>
  <c r="B28" i="1" l="1"/>
  <c r="M28" i="1"/>
  <c r="A29" i="1"/>
  <c r="K28" i="1"/>
  <c r="L28" i="1" s="1"/>
  <c r="M29" i="1" l="1"/>
  <c r="A30" i="1"/>
  <c r="K29" i="1"/>
  <c r="L29" i="1" s="1"/>
  <c r="B29" i="1"/>
  <c r="M30" i="1" l="1"/>
  <c r="A31" i="1"/>
  <c r="K30" i="1"/>
  <c r="L30" i="1" s="1"/>
  <c r="B30" i="1"/>
  <c r="A32" i="1" l="1"/>
  <c r="K31" i="1"/>
  <c r="L31" i="1" s="1"/>
  <c r="B31" i="1"/>
  <c r="M31" i="1"/>
  <c r="B32" i="1" l="1"/>
  <c r="M32" i="1"/>
  <c r="A33" i="1"/>
  <c r="K32" i="1"/>
  <c r="L32" i="1" s="1"/>
  <c r="M33" i="1" l="1"/>
  <c r="A34" i="1"/>
  <c r="K33" i="1"/>
  <c r="L33" i="1" s="1"/>
  <c r="B33" i="1"/>
  <c r="M34" i="1" l="1"/>
  <c r="A35" i="1"/>
  <c r="K34" i="1"/>
  <c r="L34" i="1" s="1"/>
  <c r="B34" i="1"/>
  <c r="A36" i="1" l="1"/>
  <c r="K35" i="1"/>
  <c r="L35" i="1" s="1"/>
  <c r="B35" i="1"/>
  <c r="M35" i="1"/>
  <c r="B36" i="1" l="1"/>
  <c r="M36" i="1"/>
  <c r="A37" i="1"/>
  <c r="K36" i="1"/>
  <c r="L36" i="1" s="1"/>
  <c r="M37" i="1" l="1"/>
  <c r="A38" i="1"/>
  <c r="K37" i="1"/>
  <c r="L37" i="1" s="1"/>
  <c r="B37" i="1"/>
  <c r="M38" i="1" l="1"/>
  <c r="A39" i="1"/>
  <c r="K38" i="1"/>
  <c r="L38" i="1" s="1"/>
  <c r="B38" i="1"/>
  <c r="A40" i="1" l="1"/>
  <c r="K39" i="1"/>
  <c r="L39" i="1" s="1"/>
  <c r="B39" i="1"/>
  <c r="M39" i="1"/>
  <c r="B40" i="1" l="1"/>
  <c r="M40" i="1"/>
  <c r="M41" i="1" s="1"/>
  <c r="B5" i="2" s="1"/>
  <c r="C5" i="2" s="1"/>
  <c r="K40" i="1"/>
  <c r="K41" i="1" s="1"/>
  <c r="B3" i="2" s="1"/>
  <c r="C3" i="2" s="1"/>
  <c r="L40" i="1" l="1"/>
  <c r="L41" i="1" s="1"/>
  <c r="B4" i="2" s="1"/>
  <c r="C4" i="2" s="1"/>
  <c r="C7" i="2" s="1"/>
</calcChain>
</file>

<file path=xl/sharedStrings.xml><?xml version="1.0" encoding="utf-8"?>
<sst xmlns="http://schemas.openxmlformats.org/spreadsheetml/2006/main" count="61" uniqueCount="54">
  <si>
    <t>FICHA DE TEMPO</t>
  </si>
  <si>
    <t>Nº FICHA:</t>
  </si>
  <si>
    <t>NOME:</t>
  </si>
  <si>
    <t>Nº CHAMADO:</t>
  </si>
  <si>
    <t>CLIENTE:</t>
  </si>
  <si>
    <t>TELEFONE:</t>
  </si>
  <si>
    <t>O.C.</t>
  </si>
  <si>
    <t>TIPO DE SERV.:</t>
  </si>
  <si>
    <t>ENDEREÇO:</t>
  </si>
  <si>
    <t>CIDADE:</t>
  </si>
  <si>
    <t>ESTADO:</t>
  </si>
  <si>
    <t xml:space="preserve">GBK: </t>
  </si>
  <si>
    <t>ZONA:</t>
  </si>
  <si>
    <t>SERVIÇO:</t>
  </si>
  <si>
    <t>C.N.P.J.:</t>
  </si>
  <si>
    <t>COND. PAGTO:</t>
  </si>
  <si>
    <t>Jornada Diária</t>
  </si>
  <si>
    <t>DATA</t>
  </si>
  <si>
    <t>HORÁRIO</t>
  </si>
  <si>
    <t>HORAS</t>
  </si>
  <si>
    <t>SERVIÇO EXECUTADO</t>
  </si>
  <si>
    <t>00:00 às 06:00</t>
  </si>
  <si>
    <t>06:00 às 14:00</t>
  </si>
  <si>
    <t>14:00 às 22:00</t>
  </si>
  <si>
    <t>22:00 às 24:00</t>
  </si>
  <si>
    <t>NORMAL</t>
  </si>
  <si>
    <t>EXTRAS</t>
  </si>
  <si>
    <t>NOTURNO</t>
  </si>
  <si>
    <t>INÍCIO</t>
  </si>
  <si>
    <t>TÉRMINO</t>
  </si>
  <si>
    <t>FERIADO</t>
  </si>
  <si>
    <t>1o Turno</t>
  </si>
  <si>
    <t>2o Turno</t>
  </si>
  <si>
    <t>3o Turno</t>
  </si>
  <si>
    <t>4o Turno</t>
  </si>
  <si>
    <t>TOTAL</t>
  </si>
  <si>
    <t>EMITENTE</t>
  </si>
  <si>
    <t>CHEFIA OBRA</t>
  </si>
  <si>
    <r>
      <t xml:space="preserve">( )SIM  ( )NÃO </t>
    </r>
    <r>
      <rPr>
        <sz val="6"/>
        <rFont val="Arial"/>
        <family val="2"/>
      </rPr>
      <t xml:space="preserve">DECLARAMOS QUE AS HORAS E DESPESAS ACIMA </t>
    </r>
    <r>
      <rPr>
        <sz val="6.5"/>
        <rFont val="Arial"/>
        <family val="2"/>
      </rPr>
      <t xml:space="preserve"> </t>
    </r>
    <r>
      <rPr>
        <sz val="6"/>
        <rFont val="Arial"/>
        <family val="2"/>
      </rPr>
      <t>DISCRIMINADAS, FORAM</t>
    </r>
  </si>
  <si>
    <t xml:space="preserve">                                   CONFERIDAS E ESTÃO CORRETAS.</t>
  </si>
  <si>
    <t>DATA ____/____/_____</t>
  </si>
  <si>
    <t>VISTO / DATA</t>
  </si>
  <si>
    <t>NOME EM LETRA DE FORMA: _______________________________________________________</t>
  </si>
  <si>
    <t>Fechamento Homem/Hora</t>
  </si>
  <si>
    <t>Horas Executadas</t>
  </si>
  <si>
    <t>Horas Pagas</t>
  </si>
  <si>
    <t>Horas Normais</t>
  </si>
  <si>
    <t>Extras 50%</t>
  </si>
  <si>
    <t>Extras 100%</t>
  </si>
  <si>
    <t>Noturno</t>
  </si>
  <si>
    <t>Total</t>
  </si>
  <si>
    <t>Deslocamento Juiz de Fora - MG  para Araraquara - SP</t>
  </si>
  <si>
    <t>PRÉ - TAF PSU, Ponto a Ponto do painel ensaios elétricos do painel.</t>
  </si>
  <si>
    <t>MEGAWATT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</si>
</sst>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16]mmm\-yy;@"/>
    <numFmt numFmtId="165" formatCode="[$-416]dd\-mmm\-yy;@"/>
    <numFmt numFmtId="166" formatCode="dd"/>
    <numFmt numFmtId="167" formatCode="ddd"/>
    <numFmt numFmtId="168" formatCode="[h]:mm"/>
    <numFmt numFmtId="169" formatCode="0.000"/>
  </numFmts>
  <fonts count="19" x14ac:knownFonts="1">
    <font>
      <sz val="10"/>
      <name val="Arial"/>
    </font>
    <font>
      <b/>
      <sz val="24"/>
      <color theme="4" tint="-0.249977111117893"/>
      <name val="Arial"/>
      <family val="2"/>
    </font>
    <font>
      <sz val="20"/>
      <name val="Arial Black"/>
      <family val="2"/>
    </font>
    <font>
      <b/>
      <sz val="16"/>
      <name val="Arial Black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vertAlign val="superscript"/>
      <sz val="9"/>
      <name val="Arial"/>
      <family val="2"/>
    </font>
    <font>
      <sz val="11"/>
      <name val="Arial Black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indexed="8"/>
      <name val="Arial"/>
      <family val="2"/>
    </font>
    <font>
      <sz val="5"/>
      <color indexed="8"/>
      <name val="Arial"/>
      <family val="2"/>
    </font>
    <font>
      <sz val="8"/>
      <color theme="1"/>
      <name val="Arial"/>
      <family val="2"/>
    </font>
    <font>
      <sz val="6"/>
      <name val="Arial"/>
      <family val="2"/>
    </font>
    <font>
      <sz val="6.5"/>
      <name val="Arial"/>
      <family val="2"/>
    </font>
    <font>
      <sz val="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84">
    <xf numFmtId="0" fontId="0" fillId="0" borderId="0" xfId="0"/>
    <xf numFmtId="0" fontId="4" fillId="0" borderId="5" xfId="0" applyFont="1" applyBorder="1" applyAlignment="1" applyProtection="1">
      <alignment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6" fillId="0" borderId="17" xfId="0" applyFont="1" applyBorder="1" applyAlignment="1" applyProtection="1">
      <alignment vertical="center"/>
      <protection locked="0"/>
    </xf>
    <xf numFmtId="0" fontId="8" fillId="0" borderId="18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8" fillId="0" borderId="19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8" fillId="0" borderId="17" xfId="0" applyFont="1" applyBorder="1" applyAlignment="1" applyProtection="1">
      <alignment vertical="center"/>
      <protection locked="0"/>
    </xf>
    <xf numFmtId="0" fontId="5" fillId="0" borderId="20" xfId="0" applyFont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8" fillId="0" borderId="21" xfId="0" applyFont="1" applyBorder="1" applyAlignment="1" applyProtection="1">
      <alignment vertical="center"/>
      <protection locked="0"/>
    </xf>
    <xf numFmtId="0" fontId="5" fillId="0" borderId="22" xfId="0" applyFont="1" applyBorder="1" applyAlignment="1" applyProtection="1">
      <alignment vertical="center"/>
      <protection locked="0"/>
    </xf>
    <xf numFmtId="0" fontId="11" fillId="0" borderId="23" xfId="0" applyFont="1" applyBorder="1" applyAlignment="1" applyProtection="1">
      <alignment vertical="center"/>
      <protection locked="0"/>
    </xf>
    <xf numFmtId="0" fontId="8" fillId="0" borderId="22" xfId="0" applyFont="1" applyBorder="1" applyAlignment="1" applyProtection="1">
      <alignment vertical="center"/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8" fillId="0" borderId="24" xfId="0" applyFont="1" applyBorder="1" applyAlignment="1" applyProtection="1">
      <alignment vertical="center"/>
      <protection locked="0"/>
    </xf>
    <xf numFmtId="20" fontId="5" fillId="0" borderId="22" xfId="0" applyNumberFormat="1" applyFont="1" applyBorder="1" applyAlignment="1" applyProtection="1">
      <alignment vertical="center"/>
      <protection locked="0"/>
    </xf>
    <xf numFmtId="0" fontId="5" fillId="0" borderId="25" xfId="0" applyFont="1" applyBorder="1" applyAlignment="1">
      <alignment vertical="center"/>
    </xf>
    <xf numFmtId="0" fontId="5" fillId="0" borderId="26" xfId="0" applyFont="1" applyBorder="1"/>
    <xf numFmtId="0" fontId="5" fillId="0" borderId="0" xfId="0" applyFont="1"/>
    <xf numFmtId="0" fontId="12" fillId="0" borderId="0" xfId="0" applyFont="1"/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vertical="center"/>
    </xf>
    <xf numFmtId="0" fontId="5" fillId="2" borderId="38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 vertical="center"/>
    </xf>
    <xf numFmtId="9" fontId="5" fillId="2" borderId="34" xfId="0" applyNumberFormat="1" applyFont="1" applyFill="1" applyBorder="1" applyAlignment="1">
      <alignment horizontal="center"/>
    </xf>
    <xf numFmtId="9" fontId="5" fillId="2" borderId="27" xfId="0" applyNumberFormat="1" applyFont="1" applyFill="1" applyBorder="1" applyAlignment="1">
      <alignment horizontal="center"/>
    </xf>
    <xf numFmtId="9" fontId="5" fillId="2" borderId="41" xfId="0" applyNumberFormat="1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/>
    </xf>
    <xf numFmtId="9" fontId="12" fillId="0" borderId="0" xfId="0" applyNumberFormat="1" applyFont="1"/>
    <xf numFmtId="9" fontId="12" fillId="0" borderId="0" xfId="0" applyNumberFormat="1" applyFont="1" applyProtection="1">
      <protection hidden="1"/>
    </xf>
    <xf numFmtId="0" fontId="12" fillId="0" borderId="0" xfId="0" applyFont="1" applyProtection="1">
      <protection hidden="1"/>
    </xf>
    <xf numFmtId="166" fontId="13" fillId="4" borderId="42" xfId="0" applyNumberFormat="1" applyFont="1" applyFill="1" applyBorder="1" applyAlignment="1">
      <alignment horizontal="center"/>
    </xf>
    <xf numFmtId="167" fontId="14" fillId="4" borderId="15" xfId="0" applyNumberFormat="1" applyFont="1" applyFill="1" applyBorder="1" applyAlignment="1">
      <alignment horizontal="center"/>
    </xf>
    <xf numFmtId="20" fontId="5" fillId="4" borderId="7" xfId="0" applyNumberFormat="1" applyFont="1" applyFill="1" applyBorder="1" applyAlignment="1" applyProtection="1">
      <alignment horizontal="center"/>
      <protection locked="0"/>
    </xf>
    <xf numFmtId="20" fontId="5" fillId="4" borderId="43" xfId="0" applyNumberFormat="1" applyFont="1" applyFill="1" applyBorder="1" applyAlignment="1" applyProtection="1">
      <alignment horizontal="center"/>
      <protection locked="0"/>
    </xf>
    <xf numFmtId="20" fontId="5" fillId="4" borderId="42" xfId="0" applyNumberFormat="1" applyFont="1" applyFill="1" applyBorder="1" applyAlignment="1" applyProtection="1">
      <alignment horizontal="center"/>
      <protection locked="0"/>
    </xf>
    <xf numFmtId="20" fontId="5" fillId="4" borderId="44" xfId="0" applyNumberFormat="1" applyFont="1" applyFill="1" applyBorder="1" applyAlignment="1" applyProtection="1">
      <alignment horizontal="center"/>
      <protection locked="0"/>
    </xf>
    <xf numFmtId="20" fontId="5" fillId="4" borderId="14" xfId="0" applyNumberFormat="1" applyFont="1" applyFill="1" applyBorder="1" applyAlignment="1" applyProtection="1">
      <alignment horizontal="center"/>
      <protection locked="0"/>
    </xf>
    <xf numFmtId="168" fontId="5" fillId="4" borderId="45" xfId="0" applyNumberFormat="1" applyFont="1" applyFill="1" applyBorder="1" applyAlignment="1">
      <alignment horizontal="center"/>
    </xf>
    <xf numFmtId="168" fontId="5" fillId="4" borderId="46" xfId="0" applyNumberFormat="1" applyFont="1" applyFill="1" applyBorder="1" applyAlignment="1">
      <alignment horizontal="center"/>
    </xf>
    <xf numFmtId="0" fontId="5" fillId="4" borderId="46" xfId="0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20" fontId="12" fillId="0" borderId="0" xfId="0" applyNumberFormat="1" applyFont="1" applyAlignment="1" applyProtection="1">
      <alignment horizontal="right"/>
      <protection hidden="1"/>
    </xf>
    <xf numFmtId="20" fontId="12" fillId="0" borderId="0" xfId="0" applyNumberFormat="1" applyFont="1" applyProtection="1">
      <protection hidden="1"/>
    </xf>
    <xf numFmtId="20" fontId="5" fillId="4" borderId="47" xfId="0" applyNumberFormat="1" applyFont="1" applyFill="1" applyBorder="1" applyAlignment="1" applyProtection="1">
      <alignment horizontal="center"/>
      <protection locked="0"/>
    </xf>
    <xf numFmtId="20" fontId="5" fillId="0" borderId="0" xfId="0" applyNumberFormat="1" applyFont="1"/>
    <xf numFmtId="166" fontId="13" fillId="4" borderId="42" xfId="0" applyNumberFormat="1" applyFont="1" applyFill="1" applyBorder="1" applyAlignment="1">
      <alignment horizontal="center" vertical="center" wrapText="1"/>
    </xf>
    <xf numFmtId="167" fontId="14" fillId="4" borderId="15" xfId="0" applyNumberFormat="1" applyFont="1" applyFill="1" applyBorder="1" applyAlignment="1">
      <alignment horizontal="center" vertical="center" wrapText="1"/>
    </xf>
    <xf numFmtId="20" fontId="5" fillId="4" borderId="7" xfId="0" applyNumberFormat="1" applyFont="1" applyFill="1" applyBorder="1" applyAlignment="1" applyProtection="1">
      <alignment horizontal="center" vertical="center" wrapText="1"/>
      <protection locked="0"/>
    </xf>
    <xf numFmtId="20" fontId="5" fillId="4" borderId="47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4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0" fontId="15" fillId="0" borderId="0" xfId="0" applyNumberFormat="1" applyFont="1" applyAlignment="1" applyProtection="1">
      <alignment horizontal="right"/>
      <protection hidden="1"/>
    </xf>
    <xf numFmtId="20" fontId="5" fillId="0" borderId="0" xfId="0" applyNumberFormat="1" applyFont="1" applyProtection="1">
      <protection hidden="1"/>
    </xf>
    <xf numFmtId="20" fontId="5" fillId="4" borderId="38" xfId="0" applyNumberFormat="1" applyFont="1" applyFill="1" applyBorder="1" applyAlignment="1" applyProtection="1">
      <alignment horizontal="center"/>
      <protection locked="0"/>
    </xf>
    <xf numFmtId="20" fontId="5" fillId="4" borderId="39" xfId="0" applyNumberFormat="1" applyFont="1" applyFill="1" applyBorder="1" applyAlignment="1" applyProtection="1">
      <alignment horizontal="center"/>
      <protection locked="0"/>
    </xf>
    <xf numFmtId="20" fontId="5" fillId="4" borderId="48" xfId="0" applyNumberFormat="1" applyFont="1" applyFill="1" applyBorder="1" applyAlignment="1" applyProtection="1">
      <alignment horizontal="center"/>
      <protection locked="0"/>
    </xf>
    <xf numFmtId="20" fontId="5" fillId="4" borderId="49" xfId="0" applyNumberFormat="1" applyFont="1" applyFill="1" applyBorder="1" applyAlignment="1" applyProtection="1">
      <alignment horizontal="center"/>
      <protection locked="0"/>
    </xf>
    <xf numFmtId="20" fontId="5" fillId="4" borderId="50" xfId="0" applyNumberFormat="1" applyFont="1" applyFill="1" applyBorder="1" applyAlignment="1" applyProtection="1">
      <alignment horizontal="center"/>
      <protection locked="0"/>
    </xf>
    <xf numFmtId="0" fontId="5" fillId="4" borderId="41" xfId="0" applyFont="1" applyFill="1" applyBorder="1" applyAlignment="1" applyProtection="1">
      <alignment horizontal="center"/>
      <protection locked="0"/>
    </xf>
    <xf numFmtId="20" fontId="15" fillId="0" borderId="0" xfId="0" applyNumberFormat="1" applyFont="1" applyAlignment="1">
      <alignment horizontal="right"/>
    </xf>
    <xf numFmtId="168" fontId="11" fillId="5" borderId="34" xfId="0" applyNumberFormat="1" applyFont="1" applyFill="1" applyBorder="1" applyAlignment="1">
      <alignment horizontal="center"/>
    </xf>
    <xf numFmtId="168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20" fontId="11" fillId="0" borderId="0" xfId="0" applyNumberFormat="1" applyFont="1" applyAlignment="1">
      <alignment horizontal="right"/>
    </xf>
    <xf numFmtId="0" fontId="5" fillId="0" borderId="32" xfId="0" applyFont="1" applyBorder="1" applyAlignment="1">
      <alignment horizontal="center"/>
    </xf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12" xfId="0" applyFont="1" applyBorder="1"/>
    <xf numFmtId="0" fontId="5" fillId="0" borderId="35" xfId="0" applyFont="1" applyBorder="1"/>
    <xf numFmtId="0" fontId="16" fillId="0" borderId="12" xfId="0" applyFont="1" applyBorder="1"/>
    <xf numFmtId="0" fontId="18" fillId="0" borderId="37" xfId="0" applyFont="1" applyBorder="1"/>
    <xf numFmtId="0" fontId="5" fillId="0" borderId="40" xfId="0" applyFont="1" applyBorder="1"/>
    <xf numFmtId="168" fontId="5" fillId="0" borderId="0" xfId="0" applyNumberFormat="1" applyFont="1"/>
    <xf numFmtId="169" fontId="5" fillId="0" borderId="0" xfId="0" applyNumberFormat="1" applyFont="1"/>
    <xf numFmtId="2" fontId="5" fillId="0" borderId="0" xfId="0" applyNumberFormat="1" applyFont="1"/>
    <xf numFmtId="0" fontId="10" fillId="0" borderId="0" xfId="1"/>
    <xf numFmtId="0" fontId="9" fillId="0" borderId="1" xfId="1" applyFont="1" applyBorder="1"/>
    <xf numFmtId="0" fontId="9" fillId="0" borderId="5" xfId="1" applyFont="1" applyBorder="1"/>
    <xf numFmtId="0" fontId="9" fillId="0" borderId="54" xfId="1" applyFont="1" applyBorder="1"/>
    <xf numFmtId="0" fontId="10" fillId="0" borderId="7" xfId="1" applyBorder="1"/>
    <xf numFmtId="168" fontId="10" fillId="0" borderId="17" xfId="1" applyNumberFormat="1" applyBorder="1"/>
    <xf numFmtId="168" fontId="10" fillId="0" borderId="55" xfId="1" applyNumberFormat="1" applyBorder="1"/>
    <xf numFmtId="0" fontId="10" fillId="0" borderId="56" xfId="1" applyBorder="1"/>
    <xf numFmtId="168" fontId="10" fillId="0" borderId="19" xfId="1" applyNumberFormat="1" applyBorder="1"/>
    <xf numFmtId="168" fontId="10" fillId="0" borderId="57" xfId="1" applyNumberFormat="1" applyBorder="1"/>
    <xf numFmtId="168" fontId="9" fillId="7" borderId="34" xfId="1" applyNumberFormat="1" applyFont="1" applyFill="1" applyBorder="1"/>
    <xf numFmtId="0" fontId="5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5" borderId="27" xfId="0" applyFont="1" applyFill="1" applyBorder="1" applyAlignment="1">
      <alignment horizontal="right" vertical="center"/>
    </xf>
    <xf numFmtId="0" fontId="11" fillId="5" borderId="32" xfId="0" applyFont="1" applyFill="1" applyBorder="1" applyAlignment="1">
      <alignment horizontal="right" vertical="center"/>
    </xf>
    <xf numFmtId="0" fontId="11" fillId="5" borderId="26" xfId="0" applyFont="1" applyFill="1" applyBorder="1" applyAlignment="1">
      <alignment horizontal="right" vertical="center"/>
    </xf>
    <xf numFmtId="0" fontId="11" fillId="5" borderId="40" xfId="0" applyFont="1" applyFill="1" applyBorder="1" applyAlignment="1">
      <alignment horizontal="right" vertical="center"/>
    </xf>
    <xf numFmtId="168" fontId="5" fillId="4" borderId="18" xfId="0" applyNumberFormat="1" applyFont="1" applyFill="1" applyBorder="1" applyAlignment="1" applyProtection="1">
      <alignment vertical="center"/>
      <protection locked="0"/>
    </xf>
    <xf numFmtId="168" fontId="5" fillId="4" borderId="9" xfId="0" applyNumberFormat="1" applyFont="1" applyFill="1" applyBorder="1" applyAlignment="1" applyProtection="1">
      <alignment vertical="center"/>
      <protection locked="0"/>
    </xf>
    <xf numFmtId="168" fontId="5" fillId="4" borderId="11" xfId="0" applyNumberFormat="1" applyFont="1" applyFill="1" applyBorder="1" applyAlignment="1" applyProtection="1">
      <alignment vertical="center"/>
      <protection locked="0"/>
    </xf>
    <xf numFmtId="168" fontId="5" fillId="4" borderId="18" xfId="0" applyNumberFormat="1" applyFont="1" applyFill="1" applyBorder="1" applyAlignment="1" applyProtection="1">
      <alignment horizontal="left" vertical="center"/>
      <protection locked="0"/>
    </xf>
    <xf numFmtId="168" fontId="5" fillId="4" borderId="9" xfId="0" applyNumberFormat="1" applyFont="1" applyFill="1" applyBorder="1" applyAlignment="1" applyProtection="1">
      <alignment horizontal="left" vertical="center"/>
      <protection locked="0"/>
    </xf>
    <xf numFmtId="168" fontId="5" fillId="4" borderId="11" xfId="0" applyNumberFormat="1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11" fillId="0" borderId="9" xfId="0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8" fillId="0" borderId="24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11" fillId="0" borderId="22" xfId="0" applyFont="1" applyBorder="1" applyAlignment="1" applyProtection="1">
      <alignment horizontal="left" vertical="center"/>
      <protection locked="0"/>
    </xf>
    <xf numFmtId="0" fontId="5" fillId="0" borderId="22" xfId="0" applyFont="1" applyBorder="1" applyAlignment="1" applyProtection="1">
      <alignment vertical="center"/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11" fillId="2" borderId="27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165" fontId="9" fillId="2" borderId="29" xfId="0" applyNumberFormat="1" applyFont="1" applyFill="1" applyBorder="1" applyAlignment="1" applyProtection="1">
      <alignment horizontal="center" vertical="center"/>
      <protection locked="0"/>
    </xf>
    <xf numFmtId="165" fontId="9" fillId="2" borderId="30" xfId="0" applyNumberFormat="1" applyFont="1" applyFill="1" applyBorder="1" applyAlignment="1" applyProtection="1">
      <alignment horizontal="center" vertical="center"/>
      <protection locked="0"/>
    </xf>
    <xf numFmtId="165" fontId="9" fillId="2" borderId="37" xfId="0" applyNumberFormat="1" applyFont="1" applyFill="1" applyBorder="1" applyAlignment="1" applyProtection="1">
      <alignment horizontal="center" vertical="center"/>
      <protection locked="0"/>
    </xf>
    <xf numFmtId="165" fontId="9" fillId="2" borderId="26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164" fontId="2" fillId="0" borderId="2" xfId="0" quotePrefix="1" applyNumberFormat="1" applyFont="1" applyBorder="1" applyAlignment="1">
      <alignment horizontal="center" vertical="center"/>
    </xf>
    <xf numFmtId="164" fontId="2" fillId="0" borderId="8" xfId="0" quotePrefix="1" applyNumberFormat="1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7" fillId="0" borderId="9" xfId="0" applyNumberFormat="1" applyFont="1" applyBorder="1" applyAlignment="1" applyProtection="1">
      <alignment horizontal="left" vertical="center"/>
      <protection locked="0"/>
    </xf>
    <xf numFmtId="164" fontId="7" fillId="0" borderId="9" xfId="0" quotePrefix="1" applyNumberFormat="1" applyFont="1" applyBorder="1" applyAlignment="1" applyProtection="1">
      <alignment horizontal="left" vertical="center"/>
      <protection locked="0"/>
    </xf>
    <xf numFmtId="164" fontId="7" fillId="0" borderId="10" xfId="0" quotePrefix="1" applyNumberFormat="1" applyFont="1" applyBorder="1" applyAlignment="1" applyProtection="1">
      <alignment horizontal="left" vertical="center"/>
      <protection locked="0"/>
    </xf>
    <xf numFmtId="0" fontId="9" fillId="0" borderId="13" xfId="0" applyFont="1" applyBorder="1" applyAlignment="1" applyProtection="1">
      <alignment horizontal="left" vertical="center"/>
      <protection locked="0"/>
    </xf>
    <xf numFmtId="0" fontId="10" fillId="0" borderId="13" xfId="0" applyFont="1" applyBorder="1" applyProtection="1">
      <protection locked="0"/>
    </xf>
    <xf numFmtId="0" fontId="10" fillId="0" borderId="14" xfId="0" applyFont="1" applyBorder="1" applyProtection="1">
      <protection locked="0"/>
    </xf>
    <xf numFmtId="0" fontId="11" fillId="0" borderId="13" xfId="0" applyFont="1" applyBorder="1" applyAlignment="1" applyProtection="1">
      <alignment vertical="center"/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9" fillId="7" borderId="51" xfId="1" applyFont="1" applyFill="1" applyBorder="1" applyAlignment="1">
      <alignment horizontal="center"/>
    </xf>
    <xf numFmtId="0" fontId="9" fillId="7" borderId="52" xfId="1" applyFont="1" applyFill="1" applyBorder="1" applyAlignment="1">
      <alignment horizontal="center"/>
    </xf>
    <xf numFmtId="0" fontId="9" fillId="7" borderId="53" xfId="1" applyFont="1" applyFill="1" applyBorder="1" applyAlignment="1">
      <alignment horizontal="center"/>
    </xf>
    <xf numFmtId="0" fontId="9" fillId="7" borderId="27" xfId="1" applyFont="1" applyFill="1" applyBorder="1" applyAlignment="1">
      <alignment horizontal="left"/>
    </xf>
    <xf numFmtId="0" fontId="9" fillId="7" borderId="28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840"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2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42</xdr:row>
      <xdr:rowOff>0</xdr:rowOff>
    </xdr:from>
    <xdr:to>
      <xdr:col>23</xdr:col>
      <xdr:colOff>9525</xdr:colOff>
      <xdr:row>42</xdr:row>
      <xdr:rowOff>2485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C4AD235F-88DF-40AC-B289-1354F7BC153A}"/>
            </a:ext>
          </a:extLst>
        </xdr:cNvPr>
        <xdr:cNvSpPr txBox="1">
          <a:spLocks noChangeArrowheads="1"/>
        </xdr:cNvSpPr>
      </xdr:nvSpPr>
      <xdr:spPr bwMode="auto">
        <a:xfrm>
          <a:off x="10696575" y="6400800"/>
          <a:ext cx="5705475" cy="24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l" rtl="0">
            <a:defRPr sz="1000"/>
          </a:pPr>
          <a:r>
            <a:rPr lang="pt-BR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1º) CONSIDERAR-SE-ÃO COMO SE  TRABALHADOS FOSSEM  :</a:t>
          </a:r>
        </a:p>
        <a:p>
          <a:pPr algn="l" rtl="0">
            <a:defRPr sz="1000"/>
          </a:pPr>
          <a:r>
            <a:rPr lang="pt-BR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   A) O TEMPO  DISPENDIDO   NA  VIAGEM IDA  E  VOLTA  DO  FUNCIONÁRIO,  DESDE  A  SAÍDA  ATÉ  O LOCAL  DOS SERVIÇOS.</a:t>
          </a:r>
        </a:p>
        <a:p>
          <a:pPr algn="l" rtl="0">
            <a:defRPr sz="1000"/>
          </a:pPr>
          <a:r>
            <a:rPr lang="pt-BR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   B) O TEMPO GASTO COM  ESPERA OU PARALISAÇÃO DOS SERVIÇOS, POR RAZÕES INDEPENDENTES DA NOSSA VONTADE</a:t>
          </a:r>
        </a:p>
        <a:p>
          <a:pPr algn="l" rtl="0">
            <a:defRPr sz="1000"/>
          </a:pPr>
          <a:r>
            <a:rPr lang="pt-BR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2º) PEDE-SE  O  EXAME  CUIDADOSO  DESTA  FOLHA  DE  SERVIÇO,  POIS  AO  ASSINÁ-LA  O  REPRESENTANTE  DO  CLIENTE ESTARÁ  HOMOLOGANDO  TODAS  AS  DESPESAS   DE  VIAGEM   E   HORAS   ANOTADAS,   VINCULANDO-AS   À  OFERTA  E  PEDIDO  DE  COMPRA   RESPECTIVAMENTE   EM  CASO   DE  DIVERGÊNCIAS   ENCONTRADAS,  QUEIRAM  FAZER  CONSTAR NA   FORMA   DE   OBSERVAÇÕES    OU    RESSALVAS,   SALVAGUARDANDO    ASSIM  O   MÚTUO  INTERESSE  DE   NOSSAS  EMPRESAS.</a:t>
          </a:r>
        </a:p>
        <a:p>
          <a:pPr algn="l" rtl="0">
            <a:defRPr sz="1000"/>
          </a:pPr>
          <a:endParaRPr lang="pt-BR" sz="5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5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5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5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4"/>
  <sheetViews>
    <sheetView showZeros="0" tabSelected="1" zoomScale="130" zoomScaleNormal="130" zoomScaleSheetLayoutView="100" workbookViewId="0">
      <selection sqref="A1:E2"/>
    </sheetView>
  </sheetViews>
  <sheetFormatPr defaultColWidth="9.109375" defaultRowHeight="10.199999999999999" x14ac:dyDescent="0.2"/>
  <cols>
    <col min="1" max="1" width="7" style="29" bestFit="1" customWidth="1"/>
    <col min="2" max="2" width="3.77734375" style="29" bestFit="1" customWidth="1"/>
    <col min="3" max="4" width="10.77734375" style="29" customWidth="1"/>
    <col min="5" max="5" width="13.88671875" style="29" customWidth="1"/>
    <col min="6" max="10" width="10.77734375" style="29" customWidth="1"/>
    <col min="11" max="15" width="8.77734375" style="29" customWidth="1"/>
    <col min="16" max="16" width="5.33203125" style="29" bestFit="1" customWidth="1"/>
    <col min="17" max="17" width="7.77734375" style="29" bestFit="1" customWidth="1"/>
    <col min="18" max="18" width="3.88671875" style="29" bestFit="1" customWidth="1"/>
    <col min="19" max="19" width="56.33203125" style="29" bestFit="1" customWidth="1"/>
    <col min="20" max="20" width="3" style="29" bestFit="1" customWidth="1"/>
    <col min="21" max="21" width="8.33203125" style="29" bestFit="1" customWidth="1"/>
    <col min="22" max="22" width="10" style="29" bestFit="1" customWidth="1"/>
    <col min="23" max="23" width="7.88671875" style="29" bestFit="1" customWidth="1"/>
    <col min="24" max="24" width="3.6640625" style="29" customWidth="1"/>
    <col min="25" max="16384" width="9.109375" style="29"/>
  </cols>
  <sheetData>
    <row r="1" spans="1:32" s="3" customFormat="1" ht="25.2" x14ac:dyDescent="0.25">
      <c r="A1" s="161" t="s">
        <v>53</v>
      </c>
      <c r="B1" s="162"/>
      <c r="C1" s="162"/>
      <c r="D1" s="162"/>
      <c r="E1" s="162"/>
      <c r="F1" s="165">
        <f>A8</f>
        <v>0</v>
      </c>
      <c r="G1" s="165"/>
      <c r="H1" s="165"/>
      <c r="I1" s="167" t="s">
        <v>0</v>
      </c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" t="s">
        <v>1</v>
      </c>
      <c r="W1" s="2"/>
    </row>
    <row r="2" spans="1:32" s="3" customFormat="1" ht="17.399999999999999" x14ac:dyDescent="0.25">
      <c r="A2" s="163"/>
      <c r="B2" s="164"/>
      <c r="C2" s="164"/>
      <c r="D2" s="164"/>
      <c r="E2" s="164"/>
      <c r="F2" s="166"/>
      <c r="G2" s="166"/>
      <c r="H2" s="166"/>
      <c r="I2" s="4" t="s">
        <v>2</v>
      </c>
      <c r="J2" s="169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1"/>
      <c r="V2" s="5" t="s">
        <v>3</v>
      </c>
      <c r="W2" s="6"/>
    </row>
    <row r="3" spans="1:32" s="3" customFormat="1" ht="13.2" x14ac:dyDescent="0.25">
      <c r="A3" s="7" t="s">
        <v>4</v>
      </c>
      <c r="B3" s="8"/>
      <c r="C3" s="172"/>
      <c r="D3" s="173"/>
      <c r="E3" s="173"/>
      <c r="F3" s="173"/>
      <c r="G3" s="173"/>
      <c r="H3" s="173"/>
      <c r="I3" s="173"/>
      <c r="J3" s="173"/>
      <c r="K3" s="173"/>
      <c r="L3" s="173"/>
      <c r="M3" s="174"/>
      <c r="N3" s="9" t="s">
        <v>5</v>
      </c>
      <c r="O3" s="175"/>
      <c r="P3" s="176"/>
      <c r="Q3" s="9"/>
      <c r="R3" s="177"/>
      <c r="S3" s="178"/>
      <c r="T3" s="10" t="s">
        <v>6</v>
      </c>
      <c r="U3" s="11"/>
      <c r="V3" s="12" t="s">
        <v>7</v>
      </c>
      <c r="W3" s="6"/>
    </row>
    <row r="4" spans="1:32" s="3" customFormat="1" ht="15.6" x14ac:dyDescent="0.25">
      <c r="A4" s="13" t="s">
        <v>8</v>
      </c>
      <c r="B4" s="14"/>
      <c r="C4" s="134"/>
      <c r="D4" s="135"/>
      <c r="E4" s="135"/>
      <c r="F4" s="135"/>
      <c r="G4" s="135"/>
      <c r="H4" s="135"/>
      <c r="I4" s="135"/>
      <c r="J4" s="135"/>
      <c r="K4" s="135"/>
      <c r="L4" s="135"/>
      <c r="M4" s="136"/>
      <c r="N4" s="15" t="s">
        <v>9</v>
      </c>
      <c r="O4" s="134"/>
      <c r="P4" s="137"/>
      <c r="Q4" s="17" t="s">
        <v>10</v>
      </c>
      <c r="R4" s="16"/>
      <c r="S4" s="17"/>
      <c r="T4" s="14"/>
      <c r="U4" s="18"/>
      <c r="V4" s="19" t="s">
        <v>11</v>
      </c>
      <c r="W4" s="6"/>
    </row>
    <row r="5" spans="1:32" s="3" customFormat="1" ht="12" thickBot="1" x14ac:dyDescent="0.3">
      <c r="A5" s="20" t="s">
        <v>12</v>
      </c>
      <c r="B5" s="21"/>
      <c r="C5" s="22"/>
      <c r="D5" s="138" t="s">
        <v>13</v>
      </c>
      <c r="E5" s="139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23" t="s">
        <v>14</v>
      </c>
      <c r="Q5" s="141"/>
      <c r="R5" s="142"/>
      <c r="S5" s="25" t="s">
        <v>15</v>
      </c>
      <c r="T5" s="24"/>
      <c r="U5" s="25" t="s">
        <v>16</v>
      </c>
      <c r="V5" s="26">
        <v>0.375</v>
      </c>
      <c r="W5" s="27"/>
    </row>
    <row r="6" spans="1:32" ht="10.8" thickBo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Z6" s="30"/>
      <c r="AA6" s="30"/>
      <c r="AB6" s="30"/>
      <c r="AC6" s="30"/>
      <c r="AD6" s="30"/>
      <c r="AE6" s="30"/>
      <c r="AF6" s="30"/>
    </row>
    <row r="7" spans="1:32" ht="10.8" thickBot="1" x14ac:dyDescent="0.25">
      <c r="A7" s="143" t="s">
        <v>17</v>
      </c>
      <c r="B7" s="144"/>
      <c r="C7" s="145" t="s">
        <v>18</v>
      </c>
      <c r="D7" s="146"/>
      <c r="E7" s="146"/>
      <c r="F7" s="146"/>
      <c r="G7" s="146"/>
      <c r="H7" s="146"/>
      <c r="I7" s="146"/>
      <c r="J7" s="147"/>
      <c r="K7" s="148" t="s">
        <v>19</v>
      </c>
      <c r="L7" s="149"/>
      <c r="M7" s="149"/>
      <c r="N7" s="150"/>
      <c r="O7" s="151" t="s">
        <v>20</v>
      </c>
      <c r="P7" s="152"/>
      <c r="Q7" s="152"/>
      <c r="R7" s="152"/>
      <c r="S7" s="152"/>
      <c r="T7" s="31"/>
      <c r="U7" s="31"/>
      <c r="V7" s="32"/>
      <c r="W7" s="33"/>
      <c r="Z7" s="30"/>
      <c r="AA7" s="30"/>
      <c r="AB7" s="30"/>
      <c r="AC7" s="30"/>
      <c r="AD7" s="30"/>
      <c r="AE7" s="30"/>
      <c r="AF7" s="30"/>
    </row>
    <row r="8" spans="1:32" ht="10.8" thickBot="1" x14ac:dyDescent="0.25">
      <c r="A8" s="157"/>
      <c r="B8" s="158"/>
      <c r="C8" s="127" t="s">
        <v>21</v>
      </c>
      <c r="D8" s="128"/>
      <c r="E8" s="127" t="s">
        <v>22</v>
      </c>
      <c r="F8" s="128"/>
      <c r="G8" s="127" t="s">
        <v>23</v>
      </c>
      <c r="H8" s="128"/>
      <c r="I8" s="129" t="s">
        <v>24</v>
      </c>
      <c r="J8" s="128"/>
      <c r="K8" s="130" t="s">
        <v>25</v>
      </c>
      <c r="L8" s="132" t="s">
        <v>26</v>
      </c>
      <c r="M8" s="133"/>
      <c r="N8" s="34" t="s">
        <v>27</v>
      </c>
      <c r="O8" s="153"/>
      <c r="P8" s="154"/>
      <c r="Q8" s="154"/>
      <c r="R8" s="154"/>
      <c r="S8" s="154"/>
      <c r="T8" s="35"/>
      <c r="U8" s="35"/>
      <c r="V8" s="36"/>
      <c r="W8" s="37"/>
      <c r="Z8" s="30"/>
      <c r="AA8" s="30"/>
      <c r="AB8" s="30"/>
      <c r="AC8" s="30"/>
      <c r="AD8" s="30"/>
      <c r="AE8" s="30"/>
      <c r="AF8" s="30"/>
    </row>
    <row r="9" spans="1:32" ht="10.8" thickBot="1" x14ac:dyDescent="0.25">
      <c r="A9" s="159"/>
      <c r="B9" s="160"/>
      <c r="C9" s="38" t="s">
        <v>28</v>
      </c>
      <c r="D9" s="39" t="s">
        <v>29</v>
      </c>
      <c r="E9" s="38" t="s">
        <v>28</v>
      </c>
      <c r="F9" s="39" t="s">
        <v>29</v>
      </c>
      <c r="G9" s="38" t="s">
        <v>28</v>
      </c>
      <c r="H9" s="39" t="s">
        <v>29</v>
      </c>
      <c r="I9" s="40" t="s">
        <v>28</v>
      </c>
      <c r="J9" s="39" t="s">
        <v>29</v>
      </c>
      <c r="K9" s="131"/>
      <c r="L9" s="42">
        <v>0.5</v>
      </c>
      <c r="M9" s="43">
        <v>1</v>
      </c>
      <c r="N9" s="44">
        <v>0.3</v>
      </c>
      <c r="O9" s="155"/>
      <c r="P9" s="156"/>
      <c r="Q9" s="156"/>
      <c r="R9" s="156"/>
      <c r="S9" s="156"/>
      <c r="T9" s="45"/>
      <c r="U9" s="45"/>
      <c r="V9" s="41"/>
      <c r="W9" s="46" t="s">
        <v>30</v>
      </c>
      <c r="Z9" s="47"/>
      <c r="AA9" s="48" t="s">
        <v>31</v>
      </c>
      <c r="AB9" s="48" t="s">
        <v>32</v>
      </c>
      <c r="AC9" s="48" t="s">
        <v>33</v>
      </c>
      <c r="AD9" s="49" t="s">
        <v>34</v>
      </c>
      <c r="AE9" s="30"/>
      <c r="AF9" s="30"/>
    </row>
    <row r="10" spans="1:32" x14ac:dyDescent="0.2">
      <c r="A10" s="50">
        <f>A8</f>
        <v>0</v>
      </c>
      <c r="B10" s="51">
        <f t="shared" ref="B10:B40" si="0">A10</f>
        <v>0</v>
      </c>
      <c r="C10" s="52"/>
      <c r="D10" s="53"/>
      <c r="E10" s="52"/>
      <c r="F10" s="53"/>
      <c r="G10" s="54"/>
      <c r="H10" s="55"/>
      <c r="I10" s="56"/>
      <c r="J10" s="55"/>
      <c r="K10" s="57" t="str">
        <f>IF(OR(WEEKDAY(A10)=1,WEEKDAY(A10)=7,TRIM(W10)&lt;&gt;""),"",IF(WEEKDAY(A10)=6, IF(SUM(AA10:AD10)&gt;0.33333333333, 0.333333333, SUM(AA10:AD10)),IF(SUM(AA10:AD10)&gt;0.375, 0.375, SUM(AA10:AD10))))</f>
        <v/>
      </c>
      <c r="L10" s="58">
        <f>IF(OR(WEEKDAY(A10)=1,TRIM(W10)&lt;&gt;""),"",IF(WEEKDAY(A10)=7,SUM(AA10:AD10),SUM(AA10:AD10)-K10))</f>
        <v>0</v>
      </c>
      <c r="M10" s="58" t="str">
        <f>IF(OR(WEEKDAY(A10) = 1,TRIM(W10)&lt;&gt;""),SUM(AA10:AD10),"")</f>
        <v/>
      </c>
      <c r="N10" s="58">
        <f>SUM(AA10,AD10)</f>
        <v>0</v>
      </c>
      <c r="O10" s="124"/>
      <c r="P10" s="125"/>
      <c r="Q10" s="125"/>
      <c r="R10" s="125"/>
      <c r="S10" s="125"/>
      <c r="T10" s="125"/>
      <c r="U10" s="125"/>
      <c r="V10" s="126"/>
      <c r="W10" s="59"/>
      <c r="Y10" s="60"/>
      <c r="Z10" s="61"/>
      <c r="AA10" s="62">
        <f t="shared" ref="AA10:AA40" si="1">D10-C10</f>
        <v>0</v>
      </c>
      <c r="AB10" s="62">
        <f t="shared" ref="AB10:AB40" si="2">F10-E10</f>
        <v>0</v>
      </c>
      <c r="AC10" s="62">
        <f t="shared" ref="AC10:AC40" si="3">H10-G10</f>
        <v>0</v>
      </c>
      <c r="AD10" s="63">
        <f t="shared" ref="AD10:AD40" si="4">J10-I10</f>
        <v>0</v>
      </c>
      <c r="AE10" s="30"/>
      <c r="AF10" s="30"/>
    </row>
    <row r="11" spans="1:32" x14ac:dyDescent="0.2">
      <c r="A11" s="50">
        <f t="shared" ref="A11:A40" si="5">A10+1</f>
        <v>1</v>
      </c>
      <c r="B11" s="51">
        <f t="shared" si="0"/>
        <v>1</v>
      </c>
      <c r="C11" s="52"/>
      <c r="D11" s="53"/>
      <c r="E11" s="52"/>
      <c r="F11" s="53"/>
      <c r="G11" s="54"/>
      <c r="H11" s="55"/>
      <c r="I11" s="56"/>
      <c r="J11" s="55"/>
      <c r="K11" s="57" t="str">
        <f t="shared" ref="K11:K40" si="6">IF(OR(WEEKDAY(A11)=1,WEEKDAY(A11)=7,TRIM(W11)&lt;&gt;""),"",IF(WEEKDAY(A11)=6, IF(SUM(AA11:AD11)&gt;0.33333333333, 0.333333333, SUM(AA11:AD11)),IF(SUM(AA11:AD11)&gt;0.375, 0.375, SUM(AA11:AD11))))</f>
        <v/>
      </c>
      <c r="L11" s="58" t="str">
        <f t="shared" ref="L11:L40" si="7">IF(OR(WEEKDAY(A11)=1,TRIM(W11)&lt;&gt;""),"",IF(WEEKDAY(A11)=7,SUM(AA11:AD11),SUM(AA11:AD11)-K11))</f>
        <v/>
      </c>
      <c r="M11" s="58">
        <f t="shared" ref="M11:M40" si="8">IF(OR(WEEKDAY(A11) = 1,TRIM(W11)&lt;&gt;""),SUM(AA11:AD11),"")</f>
        <v>0</v>
      </c>
      <c r="N11" s="58">
        <f t="shared" ref="N11:N40" si="9">SUM(AA11,AD11)</f>
        <v>0</v>
      </c>
      <c r="O11" s="121"/>
      <c r="P11" s="122"/>
      <c r="Q11" s="122"/>
      <c r="R11" s="122"/>
      <c r="S11" s="122"/>
      <c r="T11" s="122"/>
      <c r="U11" s="122"/>
      <c r="V11" s="123"/>
      <c r="W11" s="59"/>
      <c r="Y11" s="60"/>
      <c r="Z11" s="61"/>
      <c r="AA11" s="62">
        <f t="shared" si="1"/>
        <v>0</v>
      </c>
      <c r="AB11" s="62">
        <f t="shared" si="2"/>
        <v>0</v>
      </c>
      <c r="AC11" s="62">
        <f t="shared" si="3"/>
        <v>0</v>
      </c>
      <c r="AD11" s="63">
        <f t="shared" si="4"/>
        <v>0</v>
      </c>
      <c r="AE11" s="30"/>
      <c r="AF11" s="30"/>
    </row>
    <row r="12" spans="1:32" x14ac:dyDescent="0.2">
      <c r="A12" s="50">
        <f t="shared" si="5"/>
        <v>2</v>
      </c>
      <c r="B12" s="51">
        <f t="shared" si="0"/>
        <v>2</v>
      </c>
      <c r="C12" s="52"/>
      <c r="D12" s="53"/>
      <c r="E12" s="52"/>
      <c r="F12" s="53"/>
      <c r="G12" s="54"/>
      <c r="H12" s="55"/>
      <c r="I12" s="56"/>
      <c r="J12" s="55"/>
      <c r="K12" s="57">
        <f t="shared" si="6"/>
        <v>0</v>
      </c>
      <c r="L12" s="58">
        <f t="shared" si="7"/>
        <v>0</v>
      </c>
      <c r="M12" s="58" t="str">
        <f t="shared" si="8"/>
        <v/>
      </c>
      <c r="N12" s="58">
        <f t="shared" si="9"/>
        <v>0</v>
      </c>
      <c r="O12" s="121"/>
      <c r="P12" s="122"/>
      <c r="Q12" s="122"/>
      <c r="R12" s="122"/>
      <c r="S12" s="122"/>
      <c r="T12" s="122"/>
      <c r="U12" s="122"/>
      <c r="V12" s="123"/>
      <c r="W12" s="59"/>
      <c r="Y12" s="60"/>
      <c r="Z12" s="61"/>
      <c r="AA12" s="62">
        <f t="shared" si="1"/>
        <v>0</v>
      </c>
      <c r="AB12" s="62">
        <f t="shared" si="2"/>
        <v>0</v>
      </c>
      <c r="AC12" s="62">
        <f t="shared" si="3"/>
        <v>0</v>
      </c>
      <c r="AD12" s="63">
        <f t="shared" si="4"/>
        <v>0</v>
      </c>
      <c r="AE12" s="30"/>
      <c r="AF12" s="30"/>
    </row>
    <row r="13" spans="1:32" x14ac:dyDescent="0.2">
      <c r="A13" s="50">
        <f t="shared" si="5"/>
        <v>3</v>
      </c>
      <c r="B13" s="51">
        <f t="shared" si="0"/>
        <v>3</v>
      </c>
      <c r="C13" s="52"/>
      <c r="D13" s="53"/>
      <c r="E13" s="52"/>
      <c r="F13" s="53"/>
      <c r="G13" s="54"/>
      <c r="H13" s="55"/>
      <c r="I13" s="56"/>
      <c r="J13" s="55"/>
      <c r="K13" s="57">
        <f t="shared" si="6"/>
        <v>0</v>
      </c>
      <c r="L13" s="58">
        <f t="shared" si="7"/>
        <v>0</v>
      </c>
      <c r="M13" s="58" t="str">
        <f t="shared" si="8"/>
        <v/>
      </c>
      <c r="N13" s="58">
        <f t="shared" si="9"/>
        <v>0</v>
      </c>
      <c r="O13" s="121"/>
      <c r="P13" s="122"/>
      <c r="Q13" s="122"/>
      <c r="R13" s="122"/>
      <c r="S13" s="122"/>
      <c r="T13" s="122"/>
      <c r="U13" s="122"/>
      <c r="V13" s="123"/>
      <c r="W13" s="59"/>
      <c r="Y13" s="60"/>
      <c r="Z13" s="61"/>
      <c r="AA13" s="62">
        <f t="shared" si="1"/>
        <v>0</v>
      </c>
      <c r="AB13" s="62">
        <f t="shared" si="2"/>
        <v>0</v>
      </c>
      <c r="AC13" s="62">
        <f t="shared" si="3"/>
        <v>0</v>
      </c>
      <c r="AD13" s="63">
        <f t="shared" si="4"/>
        <v>0</v>
      </c>
      <c r="AE13" s="30"/>
      <c r="AF13" s="30"/>
    </row>
    <row r="14" spans="1:32" x14ac:dyDescent="0.2">
      <c r="A14" s="50">
        <f t="shared" si="5"/>
        <v>4</v>
      </c>
      <c r="B14" s="51">
        <f t="shared" si="0"/>
        <v>4</v>
      </c>
      <c r="C14" s="52"/>
      <c r="D14" s="64"/>
      <c r="E14" s="52"/>
      <c r="F14" s="53"/>
      <c r="G14" s="54"/>
      <c r="H14" s="55"/>
      <c r="I14" s="56"/>
      <c r="J14" s="55"/>
      <c r="K14" s="57">
        <f t="shared" si="6"/>
        <v>0</v>
      </c>
      <c r="L14" s="58">
        <f t="shared" si="7"/>
        <v>0</v>
      </c>
      <c r="M14" s="58" t="str">
        <f t="shared" si="8"/>
        <v/>
      </c>
      <c r="N14" s="58">
        <f t="shared" si="9"/>
        <v>0</v>
      </c>
      <c r="O14" s="121"/>
      <c r="P14" s="122"/>
      <c r="Q14" s="122"/>
      <c r="R14" s="122"/>
      <c r="S14" s="122"/>
      <c r="T14" s="122"/>
      <c r="U14" s="122"/>
      <c r="V14" s="123"/>
      <c r="W14" s="59"/>
      <c r="Y14" s="60"/>
      <c r="Z14" s="61"/>
      <c r="AA14" s="62">
        <f t="shared" si="1"/>
        <v>0</v>
      </c>
      <c r="AB14" s="62">
        <f t="shared" si="2"/>
        <v>0</v>
      </c>
      <c r="AC14" s="62">
        <f t="shared" si="3"/>
        <v>0</v>
      </c>
      <c r="AD14" s="63">
        <f t="shared" si="4"/>
        <v>0</v>
      </c>
      <c r="AE14" s="30"/>
      <c r="AF14" s="30"/>
    </row>
    <row r="15" spans="1:32" x14ac:dyDescent="0.2">
      <c r="A15" s="50">
        <f t="shared" si="5"/>
        <v>5</v>
      </c>
      <c r="B15" s="51">
        <f t="shared" si="0"/>
        <v>5</v>
      </c>
      <c r="C15" s="52"/>
      <c r="D15" s="64"/>
      <c r="E15" s="52"/>
      <c r="F15" s="53"/>
      <c r="G15" s="54"/>
      <c r="H15" s="55"/>
      <c r="I15" s="56"/>
      <c r="J15" s="55"/>
      <c r="K15" s="57">
        <f t="shared" si="6"/>
        <v>0</v>
      </c>
      <c r="L15" s="58">
        <f t="shared" si="7"/>
        <v>0</v>
      </c>
      <c r="M15" s="58" t="str">
        <f t="shared" si="8"/>
        <v/>
      </c>
      <c r="N15" s="58">
        <f t="shared" si="9"/>
        <v>0</v>
      </c>
      <c r="O15" s="121"/>
      <c r="P15" s="122"/>
      <c r="Q15" s="122"/>
      <c r="R15" s="122"/>
      <c r="S15" s="122"/>
      <c r="T15" s="122"/>
      <c r="U15" s="122"/>
      <c r="V15" s="123"/>
      <c r="W15" s="59"/>
      <c r="Y15" s="60"/>
      <c r="Z15" s="61"/>
      <c r="AA15" s="62">
        <f t="shared" si="1"/>
        <v>0</v>
      </c>
      <c r="AB15" s="62">
        <f t="shared" si="2"/>
        <v>0</v>
      </c>
      <c r="AC15" s="62">
        <f t="shared" si="3"/>
        <v>0</v>
      </c>
      <c r="AD15" s="63">
        <f t="shared" si="4"/>
        <v>0</v>
      </c>
      <c r="AE15" s="30"/>
      <c r="AF15" s="30"/>
    </row>
    <row r="16" spans="1:32" x14ac:dyDescent="0.2">
      <c r="A16" s="50">
        <f t="shared" si="5"/>
        <v>6</v>
      </c>
      <c r="B16" s="51">
        <f t="shared" si="0"/>
        <v>6</v>
      </c>
      <c r="C16" s="52"/>
      <c r="D16" s="64"/>
      <c r="E16" s="52"/>
      <c r="F16" s="53"/>
      <c r="G16" s="54"/>
      <c r="H16" s="55"/>
      <c r="I16" s="56"/>
      <c r="J16" s="55"/>
      <c r="K16" s="57">
        <f t="shared" si="6"/>
        <v>0</v>
      </c>
      <c r="L16" s="58">
        <f t="shared" si="7"/>
        <v>0</v>
      </c>
      <c r="M16" s="58" t="str">
        <f t="shared" si="8"/>
        <v/>
      </c>
      <c r="N16" s="58">
        <f t="shared" si="9"/>
        <v>0</v>
      </c>
      <c r="O16" s="121"/>
      <c r="P16" s="122"/>
      <c r="Q16" s="122"/>
      <c r="R16" s="122"/>
      <c r="S16" s="122"/>
      <c r="T16" s="122"/>
      <c r="U16" s="122"/>
      <c r="V16" s="123"/>
      <c r="W16" s="59"/>
      <c r="Y16" s="60"/>
      <c r="Z16" s="61"/>
      <c r="AA16" s="62">
        <f t="shared" si="1"/>
        <v>0</v>
      </c>
      <c r="AB16" s="62">
        <f t="shared" si="2"/>
        <v>0</v>
      </c>
      <c r="AC16" s="62">
        <f t="shared" si="3"/>
        <v>0</v>
      </c>
      <c r="AD16" s="63">
        <f t="shared" si="4"/>
        <v>0</v>
      </c>
      <c r="AE16" s="30"/>
      <c r="AF16" s="30"/>
    </row>
    <row r="17" spans="1:33" x14ac:dyDescent="0.2">
      <c r="A17" s="50">
        <f t="shared" si="5"/>
        <v>7</v>
      </c>
      <c r="B17" s="51">
        <f t="shared" si="0"/>
        <v>7</v>
      </c>
      <c r="C17" s="52"/>
      <c r="D17" s="64"/>
      <c r="E17" s="52"/>
      <c r="F17" s="53"/>
      <c r="G17" s="54"/>
      <c r="H17" s="55"/>
      <c r="I17" s="56"/>
      <c r="J17" s="55"/>
      <c r="K17" s="57" t="str">
        <f t="shared" si="6"/>
        <v/>
      </c>
      <c r="L17" s="58">
        <f t="shared" si="7"/>
        <v>0</v>
      </c>
      <c r="M17" s="58" t="str">
        <f t="shared" si="8"/>
        <v/>
      </c>
      <c r="N17" s="58">
        <f t="shared" si="9"/>
        <v>0</v>
      </c>
      <c r="O17" s="121"/>
      <c r="P17" s="122"/>
      <c r="Q17" s="122"/>
      <c r="R17" s="122"/>
      <c r="S17" s="122"/>
      <c r="T17" s="122"/>
      <c r="U17" s="122"/>
      <c r="V17" s="123"/>
      <c r="W17" s="59"/>
      <c r="Y17" s="60"/>
      <c r="Z17" s="61"/>
      <c r="AA17" s="62">
        <f t="shared" si="1"/>
        <v>0</v>
      </c>
      <c r="AB17" s="62">
        <f t="shared" si="2"/>
        <v>0</v>
      </c>
      <c r="AC17" s="62">
        <f t="shared" si="3"/>
        <v>0</v>
      </c>
      <c r="AD17" s="63">
        <f t="shared" si="4"/>
        <v>0</v>
      </c>
      <c r="AE17" s="30"/>
      <c r="AF17" s="30"/>
    </row>
    <row r="18" spans="1:33" x14ac:dyDescent="0.2">
      <c r="A18" s="50">
        <f t="shared" si="5"/>
        <v>8</v>
      </c>
      <c r="B18" s="51">
        <f t="shared" si="0"/>
        <v>8</v>
      </c>
      <c r="C18" s="52"/>
      <c r="D18" s="64"/>
      <c r="E18" s="52"/>
      <c r="F18" s="53"/>
      <c r="G18" s="54"/>
      <c r="H18" s="55"/>
      <c r="I18" s="56"/>
      <c r="J18" s="55"/>
      <c r="K18" s="57" t="str">
        <f t="shared" si="6"/>
        <v/>
      </c>
      <c r="L18" s="58" t="str">
        <f t="shared" si="7"/>
        <v/>
      </c>
      <c r="M18" s="58">
        <f t="shared" si="8"/>
        <v>0</v>
      </c>
      <c r="N18" s="58">
        <f t="shared" si="9"/>
        <v>0</v>
      </c>
      <c r="O18" s="121"/>
      <c r="P18" s="122"/>
      <c r="Q18" s="122"/>
      <c r="R18" s="122"/>
      <c r="S18" s="122"/>
      <c r="T18" s="122"/>
      <c r="U18" s="122"/>
      <c r="V18" s="123"/>
      <c r="W18" s="59"/>
      <c r="Y18" s="60"/>
      <c r="Z18" s="61"/>
      <c r="AA18" s="62">
        <f t="shared" si="1"/>
        <v>0</v>
      </c>
      <c r="AB18" s="62">
        <f t="shared" si="2"/>
        <v>0</v>
      </c>
      <c r="AC18" s="62">
        <f>H18-G18</f>
        <v>0</v>
      </c>
      <c r="AD18" s="63">
        <f t="shared" si="4"/>
        <v>0</v>
      </c>
      <c r="AE18" s="30"/>
      <c r="AF18" s="30"/>
    </row>
    <row r="19" spans="1:33" x14ac:dyDescent="0.2">
      <c r="A19" s="50">
        <f t="shared" si="5"/>
        <v>9</v>
      </c>
      <c r="B19" s="51">
        <f t="shared" si="0"/>
        <v>9</v>
      </c>
      <c r="C19" s="52"/>
      <c r="D19" s="64"/>
      <c r="E19" s="52"/>
      <c r="F19" s="53"/>
      <c r="G19" s="54"/>
      <c r="H19" s="55"/>
      <c r="I19" s="56"/>
      <c r="J19" s="55"/>
      <c r="K19" s="57">
        <f t="shared" si="6"/>
        <v>0</v>
      </c>
      <c r="L19" s="58">
        <f t="shared" si="7"/>
        <v>0</v>
      </c>
      <c r="M19" s="58" t="str">
        <f t="shared" si="8"/>
        <v/>
      </c>
      <c r="N19" s="58">
        <f t="shared" si="9"/>
        <v>0</v>
      </c>
      <c r="O19" s="121"/>
      <c r="P19" s="122"/>
      <c r="Q19" s="122"/>
      <c r="R19" s="122"/>
      <c r="S19" s="122"/>
      <c r="T19" s="122"/>
      <c r="U19" s="122"/>
      <c r="V19" s="123"/>
      <c r="W19" s="59"/>
      <c r="Y19" s="60"/>
      <c r="Z19" s="61"/>
      <c r="AA19" s="62">
        <f t="shared" si="1"/>
        <v>0</v>
      </c>
      <c r="AB19" s="62">
        <f t="shared" si="2"/>
        <v>0</v>
      </c>
      <c r="AC19" s="62">
        <f>H19-G19</f>
        <v>0</v>
      </c>
      <c r="AD19" s="63">
        <f t="shared" si="4"/>
        <v>0</v>
      </c>
      <c r="AE19" s="30"/>
      <c r="AF19" s="30"/>
    </row>
    <row r="20" spans="1:33" x14ac:dyDescent="0.2">
      <c r="A20" s="50">
        <f t="shared" si="5"/>
        <v>10</v>
      </c>
      <c r="B20" s="51">
        <f t="shared" si="0"/>
        <v>10</v>
      </c>
      <c r="C20" s="52"/>
      <c r="D20" s="53"/>
      <c r="E20" s="52"/>
      <c r="F20" s="53"/>
      <c r="G20" s="54"/>
      <c r="H20" s="55"/>
      <c r="I20" s="56"/>
      <c r="J20" s="55"/>
      <c r="K20" s="57">
        <f t="shared" si="6"/>
        <v>0</v>
      </c>
      <c r="L20" s="58">
        <f t="shared" si="7"/>
        <v>0</v>
      </c>
      <c r="M20" s="58" t="str">
        <f t="shared" si="8"/>
        <v/>
      </c>
      <c r="N20" s="58">
        <f t="shared" si="9"/>
        <v>0</v>
      </c>
      <c r="O20" s="121"/>
      <c r="P20" s="122"/>
      <c r="Q20" s="122"/>
      <c r="R20" s="122"/>
      <c r="S20" s="122"/>
      <c r="T20" s="122"/>
      <c r="U20" s="122"/>
      <c r="V20" s="123"/>
      <c r="W20" s="59"/>
      <c r="Y20" s="60"/>
      <c r="Z20" s="61"/>
      <c r="AA20" s="62">
        <f t="shared" si="1"/>
        <v>0</v>
      </c>
      <c r="AB20" s="62">
        <f t="shared" si="2"/>
        <v>0</v>
      </c>
      <c r="AC20" s="62">
        <f t="shared" si="3"/>
        <v>0</v>
      </c>
      <c r="AD20" s="63">
        <f t="shared" si="4"/>
        <v>0</v>
      </c>
      <c r="AE20" s="30"/>
      <c r="AF20" s="30"/>
      <c r="AG20" s="65"/>
    </row>
    <row r="21" spans="1:33" x14ac:dyDescent="0.2">
      <c r="A21" s="50">
        <f t="shared" si="5"/>
        <v>11</v>
      </c>
      <c r="B21" s="51">
        <f t="shared" si="0"/>
        <v>11</v>
      </c>
      <c r="C21" s="52"/>
      <c r="D21" s="53"/>
      <c r="E21" s="52"/>
      <c r="F21" s="53"/>
      <c r="G21" s="54"/>
      <c r="H21" s="55"/>
      <c r="I21" s="56"/>
      <c r="J21" s="55"/>
      <c r="K21" s="57">
        <f t="shared" si="6"/>
        <v>0</v>
      </c>
      <c r="L21" s="58">
        <f t="shared" si="7"/>
        <v>0</v>
      </c>
      <c r="M21" s="58" t="str">
        <f t="shared" si="8"/>
        <v/>
      </c>
      <c r="N21" s="58">
        <f t="shared" si="9"/>
        <v>0</v>
      </c>
      <c r="O21" s="121"/>
      <c r="P21" s="122"/>
      <c r="Q21" s="122"/>
      <c r="R21" s="122"/>
      <c r="S21" s="122"/>
      <c r="T21" s="122"/>
      <c r="U21" s="122"/>
      <c r="V21" s="123"/>
      <c r="W21" s="59"/>
      <c r="Y21" s="60"/>
      <c r="Z21" s="61"/>
      <c r="AA21" s="62">
        <f t="shared" si="1"/>
        <v>0</v>
      </c>
      <c r="AB21" s="62">
        <f t="shared" si="2"/>
        <v>0</v>
      </c>
      <c r="AC21" s="62">
        <f t="shared" si="3"/>
        <v>0</v>
      </c>
      <c r="AD21" s="63">
        <f t="shared" si="4"/>
        <v>0</v>
      </c>
      <c r="AE21" s="30"/>
      <c r="AF21" s="30"/>
      <c r="AG21" s="65"/>
    </row>
    <row r="22" spans="1:33" x14ac:dyDescent="0.2">
      <c r="A22" s="50">
        <f t="shared" si="5"/>
        <v>12</v>
      </c>
      <c r="B22" s="51">
        <f t="shared" si="0"/>
        <v>12</v>
      </c>
      <c r="C22" s="52"/>
      <c r="D22" s="53"/>
      <c r="E22" s="52"/>
      <c r="F22" s="53"/>
      <c r="G22" s="54"/>
      <c r="H22" s="55"/>
      <c r="I22" s="56"/>
      <c r="J22" s="55"/>
      <c r="K22" s="57">
        <f t="shared" si="6"/>
        <v>0</v>
      </c>
      <c r="L22" s="58">
        <f t="shared" si="7"/>
        <v>0</v>
      </c>
      <c r="M22" s="58" t="str">
        <f t="shared" si="8"/>
        <v/>
      </c>
      <c r="N22" s="58">
        <f t="shared" si="9"/>
        <v>0</v>
      </c>
      <c r="O22" s="121"/>
      <c r="P22" s="122"/>
      <c r="Q22" s="122"/>
      <c r="R22" s="122"/>
      <c r="S22" s="122"/>
      <c r="T22" s="122"/>
      <c r="U22" s="122"/>
      <c r="V22" s="123"/>
      <c r="W22" s="59"/>
      <c r="Y22" s="60"/>
      <c r="Z22" s="61"/>
      <c r="AA22" s="62">
        <f t="shared" si="1"/>
        <v>0</v>
      </c>
      <c r="AB22" s="62">
        <f>F22-E22</f>
        <v>0</v>
      </c>
      <c r="AC22" s="62">
        <f>H22-G22</f>
        <v>0</v>
      </c>
      <c r="AD22" s="63">
        <f t="shared" si="4"/>
        <v>0</v>
      </c>
      <c r="AE22" s="30"/>
      <c r="AF22" s="30"/>
    </row>
    <row r="23" spans="1:33" x14ac:dyDescent="0.2">
      <c r="A23" s="50">
        <f t="shared" si="5"/>
        <v>13</v>
      </c>
      <c r="B23" s="51">
        <f t="shared" si="0"/>
        <v>13</v>
      </c>
      <c r="C23" s="52"/>
      <c r="D23" s="53"/>
      <c r="E23" s="52"/>
      <c r="F23" s="53"/>
      <c r="G23" s="54"/>
      <c r="H23" s="55"/>
      <c r="I23" s="56"/>
      <c r="J23" s="55"/>
      <c r="K23" s="57">
        <f t="shared" si="6"/>
        <v>0</v>
      </c>
      <c r="L23" s="58">
        <f t="shared" si="7"/>
        <v>0</v>
      </c>
      <c r="M23" s="58" t="str">
        <f t="shared" si="8"/>
        <v/>
      </c>
      <c r="N23" s="58">
        <f t="shared" si="9"/>
        <v>0</v>
      </c>
      <c r="O23" s="121"/>
      <c r="P23" s="122"/>
      <c r="Q23" s="122"/>
      <c r="R23" s="122"/>
      <c r="S23" s="122"/>
      <c r="T23" s="122"/>
      <c r="U23" s="122"/>
      <c r="V23" s="123"/>
      <c r="W23" s="59"/>
      <c r="Y23" s="60"/>
      <c r="Z23" s="61"/>
      <c r="AA23" s="62">
        <f t="shared" si="1"/>
        <v>0</v>
      </c>
      <c r="AB23" s="62">
        <f t="shared" si="2"/>
        <v>0</v>
      </c>
      <c r="AC23" s="62">
        <f t="shared" si="3"/>
        <v>0</v>
      </c>
      <c r="AD23" s="63">
        <f t="shared" si="4"/>
        <v>0</v>
      </c>
      <c r="AE23" s="30"/>
      <c r="AF23" s="30"/>
    </row>
    <row r="24" spans="1:33" x14ac:dyDescent="0.2">
      <c r="A24" s="50">
        <f t="shared" si="5"/>
        <v>14</v>
      </c>
      <c r="B24" s="51">
        <f t="shared" si="0"/>
        <v>14</v>
      </c>
      <c r="C24" s="52"/>
      <c r="D24" s="64"/>
      <c r="E24" s="52"/>
      <c r="F24" s="53"/>
      <c r="G24" s="54"/>
      <c r="H24" s="55"/>
      <c r="I24" s="56"/>
      <c r="J24" s="55"/>
      <c r="K24" s="57" t="str">
        <f t="shared" si="6"/>
        <v/>
      </c>
      <c r="L24" s="58">
        <f t="shared" si="7"/>
        <v>0</v>
      </c>
      <c r="M24" s="58" t="str">
        <f t="shared" si="8"/>
        <v/>
      </c>
      <c r="N24" s="58">
        <f t="shared" si="9"/>
        <v>0</v>
      </c>
      <c r="O24" s="121"/>
      <c r="P24" s="122"/>
      <c r="Q24" s="122"/>
      <c r="R24" s="122"/>
      <c r="S24" s="122"/>
      <c r="T24" s="122"/>
      <c r="U24" s="122"/>
      <c r="V24" s="123"/>
      <c r="W24" s="59"/>
      <c r="Y24" s="60"/>
      <c r="Z24" s="61"/>
      <c r="AA24" s="62">
        <f t="shared" si="1"/>
        <v>0</v>
      </c>
      <c r="AB24" s="62">
        <f t="shared" si="2"/>
        <v>0</v>
      </c>
      <c r="AC24" s="62">
        <f t="shared" si="3"/>
        <v>0</v>
      </c>
      <c r="AD24" s="63">
        <f t="shared" si="4"/>
        <v>0</v>
      </c>
      <c r="AE24" s="30"/>
      <c r="AF24" s="30"/>
    </row>
    <row r="25" spans="1:33" x14ac:dyDescent="0.2">
      <c r="A25" s="50">
        <f t="shared" si="5"/>
        <v>15</v>
      </c>
      <c r="B25" s="51">
        <f t="shared" si="0"/>
        <v>15</v>
      </c>
      <c r="C25" s="52">
        <v>0</v>
      </c>
      <c r="D25" s="64"/>
      <c r="E25" s="52"/>
      <c r="F25" s="53"/>
      <c r="G25" s="54"/>
      <c r="H25" s="55"/>
      <c r="I25" s="56"/>
      <c r="J25" s="55"/>
      <c r="K25" s="57" t="str">
        <f t="shared" si="6"/>
        <v/>
      </c>
      <c r="L25" s="58" t="str">
        <f t="shared" si="7"/>
        <v/>
      </c>
      <c r="M25" s="58">
        <f t="shared" si="8"/>
        <v>0</v>
      </c>
      <c r="N25" s="58">
        <f t="shared" si="9"/>
        <v>0</v>
      </c>
      <c r="O25" s="121"/>
      <c r="P25" s="122"/>
      <c r="Q25" s="122"/>
      <c r="R25" s="122"/>
      <c r="S25" s="122"/>
      <c r="T25" s="122"/>
      <c r="U25" s="122"/>
      <c r="V25" s="123"/>
      <c r="W25" s="59"/>
      <c r="Y25" s="60"/>
      <c r="Z25" s="61"/>
      <c r="AA25" s="62">
        <f t="shared" si="1"/>
        <v>0</v>
      </c>
      <c r="AB25" s="62">
        <f t="shared" si="2"/>
        <v>0</v>
      </c>
      <c r="AC25" s="62">
        <f t="shared" si="3"/>
        <v>0</v>
      </c>
      <c r="AD25" s="63">
        <f t="shared" si="4"/>
        <v>0</v>
      </c>
      <c r="AE25" s="30"/>
      <c r="AF25" s="30"/>
    </row>
    <row r="26" spans="1:33" x14ac:dyDescent="0.2">
      <c r="A26" s="50">
        <f t="shared" si="5"/>
        <v>16</v>
      </c>
      <c r="B26" s="51">
        <f t="shared" si="0"/>
        <v>16</v>
      </c>
      <c r="C26" s="52"/>
      <c r="D26" s="64"/>
      <c r="E26" s="52"/>
      <c r="F26" s="53"/>
      <c r="G26" s="54"/>
      <c r="H26" s="55"/>
      <c r="I26" s="56"/>
      <c r="J26" s="55"/>
      <c r="K26" s="57">
        <f t="shared" si="6"/>
        <v>0</v>
      </c>
      <c r="L26" s="58">
        <f t="shared" si="7"/>
        <v>0</v>
      </c>
      <c r="M26" s="58" t="str">
        <f t="shared" si="8"/>
        <v/>
      </c>
      <c r="N26" s="58">
        <f t="shared" si="9"/>
        <v>0</v>
      </c>
      <c r="O26" s="121"/>
      <c r="P26" s="122"/>
      <c r="Q26" s="122"/>
      <c r="R26" s="122"/>
      <c r="S26" s="122"/>
      <c r="T26" s="122"/>
      <c r="U26" s="122"/>
      <c r="V26" s="123"/>
      <c r="W26" s="59"/>
      <c r="Y26" s="60"/>
      <c r="Z26" s="61"/>
      <c r="AA26" s="62">
        <f t="shared" si="1"/>
        <v>0</v>
      </c>
      <c r="AB26" s="62">
        <f t="shared" si="2"/>
        <v>0</v>
      </c>
      <c r="AC26" s="62">
        <f t="shared" si="3"/>
        <v>0</v>
      </c>
      <c r="AD26" s="63">
        <f t="shared" si="4"/>
        <v>0</v>
      </c>
      <c r="AE26" s="30"/>
      <c r="AF26" s="30"/>
    </row>
    <row r="27" spans="1:33" x14ac:dyDescent="0.2">
      <c r="A27" s="50">
        <f t="shared" si="5"/>
        <v>17</v>
      </c>
      <c r="B27" s="51">
        <f t="shared" si="0"/>
        <v>17</v>
      </c>
      <c r="C27" s="52"/>
      <c r="D27" s="64"/>
      <c r="E27" s="52"/>
      <c r="F27" s="53"/>
      <c r="G27" s="54"/>
      <c r="H27" s="55"/>
      <c r="I27" s="56"/>
      <c r="J27" s="55"/>
      <c r="K27" s="57">
        <f t="shared" si="6"/>
        <v>0</v>
      </c>
      <c r="L27" s="58">
        <f t="shared" si="7"/>
        <v>0</v>
      </c>
      <c r="M27" s="58" t="str">
        <f t="shared" si="8"/>
        <v/>
      </c>
      <c r="N27" s="58">
        <f t="shared" si="9"/>
        <v>0</v>
      </c>
      <c r="O27" s="121"/>
      <c r="P27" s="122"/>
      <c r="Q27" s="122"/>
      <c r="R27" s="122"/>
      <c r="S27" s="122"/>
      <c r="T27" s="122"/>
      <c r="U27" s="122"/>
      <c r="V27" s="123"/>
      <c r="W27" s="59"/>
      <c r="Y27" s="60"/>
      <c r="Z27" s="61"/>
      <c r="AA27" s="62">
        <f t="shared" si="1"/>
        <v>0</v>
      </c>
      <c r="AB27" s="62">
        <f t="shared" si="2"/>
        <v>0</v>
      </c>
      <c r="AC27" s="62">
        <f t="shared" si="3"/>
        <v>0</v>
      </c>
      <c r="AD27" s="63">
        <f t="shared" si="4"/>
        <v>0</v>
      </c>
      <c r="AE27" s="30"/>
      <c r="AF27" s="30"/>
    </row>
    <row r="28" spans="1:33" x14ac:dyDescent="0.2">
      <c r="A28" s="50">
        <f t="shared" si="5"/>
        <v>18</v>
      </c>
      <c r="B28" s="51">
        <f t="shared" si="0"/>
        <v>18</v>
      </c>
      <c r="C28" s="52"/>
      <c r="D28" s="64"/>
      <c r="E28" s="52"/>
      <c r="F28" s="53"/>
      <c r="G28" s="54"/>
      <c r="H28" s="55"/>
      <c r="I28" s="56"/>
      <c r="J28" s="55"/>
      <c r="K28" s="57">
        <f t="shared" si="6"/>
        <v>0</v>
      </c>
      <c r="L28" s="58">
        <f t="shared" si="7"/>
        <v>0</v>
      </c>
      <c r="M28" s="58" t="str">
        <f t="shared" si="8"/>
        <v/>
      </c>
      <c r="N28" s="58">
        <f t="shared" si="9"/>
        <v>0</v>
      </c>
      <c r="O28" s="121"/>
      <c r="P28" s="122"/>
      <c r="Q28" s="122"/>
      <c r="R28" s="122"/>
      <c r="S28" s="122"/>
      <c r="T28" s="122"/>
      <c r="U28" s="122"/>
      <c r="V28" s="123"/>
      <c r="W28" s="59"/>
      <c r="Y28" s="60"/>
      <c r="Z28" s="61"/>
      <c r="AA28" s="62">
        <f t="shared" si="1"/>
        <v>0</v>
      </c>
      <c r="AB28" s="62">
        <f t="shared" si="2"/>
        <v>0</v>
      </c>
      <c r="AC28" s="62">
        <f t="shared" si="3"/>
        <v>0</v>
      </c>
      <c r="AD28" s="63">
        <f t="shared" si="4"/>
        <v>0</v>
      </c>
      <c r="AE28" s="30"/>
      <c r="AF28" s="30"/>
    </row>
    <row r="29" spans="1:33" x14ac:dyDescent="0.2">
      <c r="A29" s="50">
        <f t="shared" si="5"/>
        <v>19</v>
      </c>
      <c r="B29" s="51">
        <f t="shared" si="0"/>
        <v>19</v>
      </c>
      <c r="C29" s="52"/>
      <c r="D29" s="64"/>
      <c r="E29" s="52"/>
      <c r="F29" s="53"/>
      <c r="G29" s="54"/>
      <c r="H29" s="55"/>
      <c r="I29" s="56"/>
      <c r="J29" s="55"/>
      <c r="K29" s="57">
        <f t="shared" si="6"/>
        <v>0</v>
      </c>
      <c r="L29" s="58">
        <f t="shared" si="7"/>
        <v>0</v>
      </c>
      <c r="M29" s="58" t="str">
        <f t="shared" si="8"/>
        <v/>
      </c>
      <c r="N29" s="58">
        <f t="shared" si="9"/>
        <v>0</v>
      </c>
      <c r="O29" s="121"/>
      <c r="P29" s="122"/>
      <c r="Q29" s="122"/>
      <c r="R29" s="122"/>
      <c r="S29" s="122"/>
      <c r="T29" s="122"/>
      <c r="U29" s="122"/>
      <c r="V29" s="123"/>
      <c r="W29" s="59"/>
      <c r="Y29" s="60"/>
      <c r="Z29" s="61"/>
      <c r="AA29" s="62">
        <f t="shared" si="1"/>
        <v>0</v>
      </c>
      <c r="AB29" s="62">
        <f t="shared" si="2"/>
        <v>0</v>
      </c>
      <c r="AC29" s="62">
        <f t="shared" si="3"/>
        <v>0</v>
      </c>
      <c r="AD29" s="63">
        <f t="shared" si="4"/>
        <v>0</v>
      </c>
      <c r="AE29" s="30"/>
      <c r="AF29" s="30"/>
    </row>
    <row r="30" spans="1:33" s="71" customFormat="1" x14ac:dyDescent="0.2">
      <c r="A30" s="66">
        <f t="shared" si="5"/>
        <v>20</v>
      </c>
      <c r="B30" s="67">
        <f t="shared" si="0"/>
        <v>20</v>
      </c>
      <c r="C30" s="68">
        <v>0</v>
      </c>
      <c r="D30" s="69"/>
      <c r="E30" s="52"/>
      <c r="F30" s="53"/>
      <c r="G30" s="54"/>
      <c r="H30" s="55"/>
      <c r="I30" s="56"/>
      <c r="J30" s="55"/>
      <c r="K30" s="57">
        <f t="shared" si="6"/>
        <v>0</v>
      </c>
      <c r="L30" s="58">
        <f t="shared" si="7"/>
        <v>0</v>
      </c>
      <c r="M30" s="58" t="str">
        <f t="shared" si="8"/>
        <v/>
      </c>
      <c r="N30" s="58">
        <f t="shared" si="9"/>
        <v>0</v>
      </c>
      <c r="O30" s="121"/>
      <c r="P30" s="122"/>
      <c r="Q30" s="122"/>
      <c r="R30" s="122"/>
      <c r="S30" s="122"/>
      <c r="T30" s="122"/>
      <c r="U30" s="122"/>
      <c r="V30" s="123"/>
      <c r="W30" s="70"/>
      <c r="Y30" s="72"/>
      <c r="Z30" s="73"/>
      <c r="AA30" s="62">
        <f t="shared" si="1"/>
        <v>0</v>
      </c>
      <c r="AB30" s="62">
        <f t="shared" si="2"/>
        <v>0</v>
      </c>
      <c r="AC30" s="62">
        <f t="shared" si="3"/>
        <v>0</v>
      </c>
      <c r="AD30" s="63">
        <f t="shared" si="4"/>
        <v>0</v>
      </c>
      <c r="AE30" s="73"/>
      <c r="AF30" s="73"/>
    </row>
    <row r="31" spans="1:33" s="71" customFormat="1" x14ac:dyDescent="0.2">
      <c r="A31" s="66">
        <f t="shared" si="5"/>
        <v>21</v>
      </c>
      <c r="B31" s="67">
        <f t="shared" si="0"/>
        <v>21</v>
      </c>
      <c r="C31" s="68"/>
      <c r="D31" s="69"/>
      <c r="E31" s="52"/>
      <c r="F31" s="53"/>
      <c r="G31" s="54"/>
      <c r="H31" s="55"/>
      <c r="I31" s="56"/>
      <c r="J31" s="55"/>
      <c r="K31" s="57" t="str">
        <f t="shared" si="6"/>
        <v/>
      </c>
      <c r="L31" s="58">
        <f t="shared" si="7"/>
        <v>0</v>
      </c>
      <c r="M31" s="58" t="str">
        <f t="shared" si="8"/>
        <v/>
      </c>
      <c r="N31" s="58">
        <f t="shared" si="9"/>
        <v>0</v>
      </c>
      <c r="O31" s="121"/>
      <c r="P31" s="122"/>
      <c r="Q31" s="122"/>
      <c r="R31" s="122"/>
      <c r="S31" s="122"/>
      <c r="T31" s="122"/>
      <c r="U31" s="122"/>
      <c r="V31" s="123"/>
      <c r="W31" s="70"/>
      <c r="Y31" s="72"/>
      <c r="Z31" s="73"/>
      <c r="AA31" s="62">
        <f t="shared" si="1"/>
        <v>0</v>
      </c>
      <c r="AB31" s="62">
        <f t="shared" si="2"/>
        <v>0</v>
      </c>
      <c r="AC31" s="62">
        <f t="shared" si="3"/>
        <v>0</v>
      </c>
      <c r="AD31" s="63">
        <f t="shared" si="4"/>
        <v>0</v>
      </c>
      <c r="AE31" s="73"/>
      <c r="AF31" s="73"/>
    </row>
    <row r="32" spans="1:33" x14ac:dyDescent="0.2">
      <c r="A32" s="50">
        <f t="shared" si="5"/>
        <v>22</v>
      </c>
      <c r="B32" s="51">
        <f t="shared" si="0"/>
        <v>22</v>
      </c>
      <c r="C32" s="52"/>
      <c r="D32" s="64"/>
      <c r="E32" s="52"/>
      <c r="F32" s="53"/>
      <c r="G32" s="54"/>
      <c r="H32" s="55"/>
      <c r="I32" s="56"/>
      <c r="J32" s="55"/>
      <c r="K32" s="57" t="str">
        <f t="shared" si="6"/>
        <v/>
      </c>
      <c r="L32" s="58" t="str">
        <f t="shared" si="7"/>
        <v/>
      </c>
      <c r="M32" s="58">
        <f t="shared" si="8"/>
        <v>0</v>
      </c>
      <c r="N32" s="58">
        <f t="shared" si="9"/>
        <v>0</v>
      </c>
      <c r="O32" s="121"/>
      <c r="P32" s="122"/>
      <c r="Q32" s="122"/>
      <c r="R32" s="122"/>
      <c r="S32" s="122"/>
      <c r="T32" s="122"/>
      <c r="U32" s="122"/>
      <c r="V32" s="123"/>
      <c r="W32" s="59"/>
      <c r="Y32" s="60"/>
      <c r="Z32" s="61"/>
      <c r="AA32" s="62">
        <f t="shared" si="1"/>
        <v>0</v>
      </c>
      <c r="AB32" s="62">
        <f t="shared" si="2"/>
        <v>0</v>
      </c>
      <c r="AC32" s="62">
        <f t="shared" si="3"/>
        <v>0</v>
      </c>
      <c r="AD32" s="63">
        <f t="shared" si="4"/>
        <v>0</v>
      </c>
      <c r="AE32" s="30"/>
      <c r="AF32" s="30"/>
    </row>
    <row r="33" spans="1:32" x14ac:dyDescent="0.2">
      <c r="A33" s="50">
        <f t="shared" si="5"/>
        <v>23</v>
      </c>
      <c r="B33" s="51">
        <f t="shared" si="0"/>
        <v>23</v>
      </c>
      <c r="C33" s="52"/>
      <c r="D33" s="64"/>
      <c r="E33" s="52"/>
      <c r="F33" s="53"/>
      <c r="G33" s="54"/>
      <c r="H33" s="55"/>
      <c r="I33" s="56"/>
      <c r="J33" s="55"/>
      <c r="K33" s="57">
        <f t="shared" si="6"/>
        <v>0</v>
      </c>
      <c r="L33" s="58">
        <f t="shared" si="7"/>
        <v>0</v>
      </c>
      <c r="M33" s="58" t="str">
        <f t="shared" si="8"/>
        <v/>
      </c>
      <c r="N33" s="58">
        <f t="shared" si="9"/>
        <v>0</v>
      </c>
      <c r="O33" s="121"/>
      <c r="P33" s="122"/>
      <c r="Q33" s="122"/>
      <c r="R33" s="122"/>
      <c r="S33" s="122"/>
      <c r="T33" s="122"/>
      <c r="U33" s="122"/>
      <c r="V33" s="123"/>
      <c r="W33" s="59"/>
      <c r="Y33" s="60"/>
      <c r="Z33" s="61"/>
      <c r="AA33" s="62">
        <f t="shared" si="1"/>
        <v>0</v>
      </c>
      <c r="AB33" s="62">
        <f t="shared" si="2"/>
        <v>0</v>
      </c>
      <c r="AC33" s="62">
        <f t="shared" si="3"/>
        <v>0</v>
      </c>
      <c r="AD33" s="63">
        <f t="shared" si="4"/>
        <v>0</v>
      </c>
      <c r="AE33" s="30"/>
      <c r="AF33" s="30"/>
    </row>
    <row r="34" spans="1:32" x14ac:dyDescent="0.2">
      <c r="A34" s="50">
        <f t="shared" si="5"/>
        <v>24</v>
      </c>
      <c r="B34" s="51">
        <f t="shared" si="0"/>
        <v>24</v>
      </c>
      <c r="C34" s="52"/>
      <c r="D34" s="64"/>
      <c r="E34" s="52"/>
      <c r="F34" s="53"/>
      <c r="G34" s="54"/>
      <c r="H34" s="55"/>
      <c r="I34" s="56"/>
      <c r="J34" s="55"/>
      <c r="K34" s="57">
        <f t="shared" si="6"/>
        <v>0</v>
      </c>
      <c r="L34" s="58">
        <f t="shared" si="7"/>
        <v>0</v>
      </c>
      <c r="M34" s="58" t="str">
        <f t="shared" si="8"/>
        <v/>
      </c>
      <c r="N34" s="58">
        <f t="shared" si="9"/>
        <v>0</v>
      </c>
      <c r="O34" s="121"/>
      <c r="P34" s="122"/>
      <c r="Q34" s="122"/>
      <c r="R34" s="122"/>
      <c r="S34" s="122"/>
      <c r="T34" s="122"/>
      <c r="U34" s="122"/>
      <c r="V34" s="123"/>
      <c r="W34" s="59"/>
      <c r="Y34" s="60"/>
      <c r="Z34" s="60"/>
      <c r="AA34" s="74">
        <f t="shared" si="1"/>
        <v>0</v>
      </c>
      <c r="AB34" s="74">
        <f t="shared" si="2"/>
        <v>0</v>
      </c>
      <c r="AC34" s="74">
        <f t="shared" si="3"/>
        <v>0</v>
      </c>
      <c r="AD34" s="75">
        <f t="shared" si="4"/>
        <v>0</v>
      </c>
    </row>
    <row r="35" spans="1:32" x14ac:dyDescent="0.2">
      <c r="A35" s="50">
        <f t="shared" si="5"/>
        <v>25</v>
      </c>
      <c r="B35" s="51">
        <f t="shared" si="0"/>
        <v>25</v>
      </c>
      <c r="C35" s="52"/>
      <c r="D35" s="64"/>
      <c r="E35" s="52"/>
      <c r="F35" s="53"/>
      <c r="G35" s="54"/>
      <c r="H35" s="55"/>
      <c r="I35" s="56"/>
      <c r="J35" s="55"/>
      <c r="K35" s="57">
        <f t="shared" si="6"/>
        <v>0</v>
      </c>
      <c r="L35" s="58">
        <f t="shared" si="7"/>
        <v>0</v>
      </c>
      <c r="M35" s="58" t="str">
        <f t="shared" si="8"/>
        <v/>
      </c>
      <c r="N35" s="58">
        <f t="shared" si="9"/>
        <v>0</v>
      </c>
      <c r="O35" s="121"/>
      <c r="P35" s="122"/>
      <c r="Q35" s="122"/>
      <c r="R35" s="122"/>
      <c r="S35" s="122"/>
      <c r="T35" s="122"/>
      <c r="U35" s="122"/>
      <c r="V35" s="123"/>
      <c r="W35" s="59"/>
      <c r="Y35" s="60"/>
      <c r="Z35" s="60"/>
      <c r="AA35" s="74">
        <f t="shared" si="1"/>
        <v>0</v>
      </c>
      <c r="AB35" s="74">
        <f t="shared" si="2"/>
        <v>0</v>
      </c>
      <c r="AC35" s="74">
        <f t="shared" si="3"/>
        <v>0</v>
      </c>
      <c r="AD35" s="75">
        <f t="shared" si="4"/>
        <v>0</v>
      </c>
    </row>
    <row r="36" spans="1:32" x14ac:dyDescent="0.2">
      <c r="A36" s="50">
        <f t="shared" si="5"/>
        <v>26</v>
      </c>
      <c r="B36" s="51">
        <f t="shared" si="0"/>
        <v>26</v>
      </c>
      <c r="C36" s="52"/>
      <c r="D36" s="64"/>
      <c r="E36" s="52"/>
      <c r="F36" s="53"/>
      <c r="G36" s="54"/>
      <c r="H36" s="55"/>
      <c r="I36" s="56"/>
      <c r="J36" s="55"/>
      <c r="K36" s="57">
        <f t="shared" si="6"/>
        <v>0</v>
      </c>
      <c r="L36" s="58">
        <f t="shared" si="7"/>
        <v>0</v>
      </c>
      <c r="M36" s="58" t="str">
        <f t="shared" si="8"/>
        <v/>
      </c>
      <c r="N36" s="58">
        <f t="shared" si="9"/>
        <v>0</v>
      </c>
      <c r="O36" s="121"/>
      <c r="P36" s="122"/>
      <c r="Q36" s="122"/>
      <c r="R36" s="122"/>
      <c r="S36" s="122"/>
      <c r="T36" s="122"/>
      <c r="U36" s="122"/>
      <c r="V36" s="123"/>
      <c r="W36" s="59"/>
      <c r="Y36" s="60"/>
      <c r="Z36" s="60"/>
      <c r="AA36" s="74">
        <f t="shared" si="1"/>
        <v>0</v>
      </c>
      <c r="AB36" s="74">
        <f t="shared" si="2"/>
        <v>0</v>
      </c>
      <c r="AC36" s="74">
        <f t="shared" si="3"/>
        <v>0</v>
      </c>
      <c r="AD36" s="75">
        <f t="shared" si="4"/>
        <v>0</v>
      </c>
    </row>
    <row r="37" spans="1:32" x14ac:dyDescent="0.2">
      <c r="A37" s="50">
        <f t="shared" si="5"/>
        <v>27</v>
      </c>
      <c r="B37" s="51">
        <f t="shared" si="0"/>
        <v>27</v>
      </c>
      <c r="C37" s="52"/>
      <c r="D37" s="64"/>
      <c r="E37" s="52"/>
      <c r="F37" s="53"/>
      <c r="G37" s="54"/>
      <c r="H37" s="55"/>
      <c r="I37" s="56"/>
      <c r="J37" s="55"/>
      <c r="K37" s="57">
        <f t="shared" si="6"/>
        <v>0</v>
      </c>
      <c r="L37" s="58">
        <f t="shared" si="7"/>
        <v>0</v>
      </c>
      <c r="M37" s="58" t="str">
        <f t="shared" si="8"/>
        <v/>
      </c>
      <c r="N37" s="58">
        <f t="shared" si="9"/>
        <v>0</v>
      </c>
      <c r="O37" s="121"/>
      <c r="P37" s="122"/>
      <c r="Q37" s="122"/>
      <c r="R37" s="122"/>
      <c r="S37" s="122"/>
      <c r="T37" s="122"/>
      <c r="U37" s="122"/>
      <c r="V37" s="123"/>
      <c r="W37" s="59"/>
      <c r="Y37" s="60"/>
      <c r="Z37" s="60"/>
      <c r="AA37" s="74">
        <f t="shared" si="1"/>
        <v>0</v>
      </c>
      <c r="AB37" s="74">
        <f t="shared" si="2"/>
        <v>0</v>
      </c>
      <c r="AC37" s="74">
        <f t="shared" si="3"/>
        <v>0</v>
      </c>
      <c r="AD37" s="75">
        <f t="shared" si="4"/>
        <v>0</v>
      </c>
    </row>
    <row r="38" spans="1:32" x14ac:dyDescent="0.2">
      <c r="A38" s="50">
        <f t="shared" si="5"/>
        <v>28</v>
      </c>
      <c r="B38" s="51">
        <f t="shared" si="0"/>
        <v>28</v>
      </c>
      <c r="C38" s="52"/>
      <c r="D38" s="64"/>
      <c r="E38" s="52"/>
      <c r="F38" s="53"/>
      <c r="G38" s="54"/>
      <c r="H38" s="55"/>
      <c r="I38" s="56"/>
      <c r="J38" s="55"/>
      <c r="K38" s="57" t="str">
        <f t="shared" si="6"/>
        <v/>
      </c>
      <c r="L38" s="58">
        <f t="shared" si="7"/>
        <v>0</v>
      </c>
      <c r="M38" s="58" t="str">
        <f t="shared" si="8"/>
        <v/>
      </c>
      <c r="N38" s="58">
        <f t="shared" si="9"/>
        <v>0</v>
      </c>
      <c r="O38" s="121"/>
      <c r="P38" s="122"/>
      <c r="Q38" s="122"/>
      <c r="R38" s="122"/>
      <c r="S38" s="122"/>
      <c r="T38" s="122"/>
      <c r="U38" s="122"/>
      <c r="V38" s="123"/>
      <c r="W38" s="59"/>
      <c r="Y38" s="60"/>
      <c r="Z38" s="60"/>
      <c r="AA38" s="74">
        <f t="shared" si="1"/>
        <v>0</v>
      </c>
      <c r="AB38" s="74">
        <f>F38-E38</f>
        <v>0</v>
      </c>
      <c r="AC38" s="74">
        <f>H38-G38</f>
        <v>0</v>
      </c>
      <c r="AD38" s="75">
        <f t="shared" si="4"/>
        <v>0</v>
      </c>
    </row>
    <row r="39" spans="1:32" x14ac:dyDescent="0.2">
      <c r="A39" s="50">
        <f t="shared" si="5"/>
        <v>29</v>
      </c>
      <c r="B39" s="51">
        <f t="shared" si="0"/>
        <v>29</v>
      </c>
      <c r="C39" s="52"/>
      <c r="D39" s="64"/>
      <c r="E39" s="52"/>
      <c r="F39" s="53"/>
      <c r="G39" s="54"/>
      <c r="H39" s="55"/>
      <c r="I39" s="56"/>
      <c r="J39" s="55"/>
      <c r="K39" s="57" t="str">
        <f t="shared" si="6"/>
        <v/>
      </c>
      <c r="L39" s="58" t="str">
        <f t="shared" si="7"/>
        <v/>
      </c>
      <c r="M39" s="58">
        <f t="shared" si="8"/>
        <v>0</v>
      </c>
      <c r="N39" s="58">
        <f t="shared" si="9"/>
        <v>0</v>
      </c>
      <c r="O39" s="121" t="s">
        <v>51</v>
      </c>
      <c r="P39" s="122"/>
      <c r="Q39" s="122"/>
      <c r="R39" s="122"/>
      <c r="S39" s="122"/>
      <c r="T39" s="122"/>
      <c r="U39" s="122"/>
      <c r="V39" s="123"/>
      <c r="W39" s="59"/>
      <c r="Y39" s="60"/>
      <c r="Z39" s="60"/>
      <c r="AA39" s="74">
        <f t="shared" si="1"/>
        <v>0</v>
      </c>
      <c r="AB39" s="74">
        <f>F39-E39</f>
        <v>0</v>
      </c>
      <c r="AC39" s="74">
        <f>H39-G39</f>
        <v>0</v>
      </c>
      <c r="AD39" s="75">
        <f t="shared" si="4"/>
        <v>0</v>
      </c>
    </row>
    <row r="40" spans="1:32" ht="10.8" thickBot="1" x14ac:dyDescent="0.25">
      <c r="A40" s="50">
        <f t="shared" si="5"/>
        <v>30</v>
      </c>
      <c r="B40" s="51">
        <f t="shared" si="0"/>
        <v>30</v>
      </c>
      <c r="C40" s="76"/>
      <c r="D40" s="77"/>
      <c r="E40" s="76"/>
      <c r="F40" s="78"/>
      <c r="G40" s="79"/>
      <c r="H40" s="80"/>
      <c r="I40" s="79"/>
      <c r="J40" s="80"/>
      <c r="K40" s="57">
        <f t="shared" si="6"/>
        <v>0</v>
      </c>
      <c r="L40" s="58">
        <f t="shared" si="7"/>
        <v>0</v>
      </c>
      <c r="M40" s="58" t="str">
        <f t="shared" si="8"/>
        <v/>
      </c>
      <c r="N40" s="58">
        <f t="shared" si="9"/>
        <v>0</v>
      </c>
      <c r="O40" s="124" t="s">
        <v>52</v>
      </c>
      <c r="P40" s="125"/>
      <c r="Q40" s="125"/>
      <c r="R40" s="125"/>
      <c r="S40" s="125"/>
      <c r="T40" s="125"/>
      <c r="U40" s="125"/>
      <c r="V40" s="126"/>
      <c r="W40" s="81"/>
      <c r="Y40" s="60"/>
      <c r="Z40" s="60"/>
      <c r="AA40" s="82">
        <f t="shared" si="1"/>
        <v>0</v>
      </c>
      <c r="AB40" s="82">
        <f t="shared" si="2"/>
        <v>0</v>
      </c>
      <c r="AC40" s="82">
        <f t="shared" si="3"/>
        <v>0</v>
      </c>
      <c r="AD40" s="65">
        <f t="shared" si="4"/>
        <v>0</v>
      </c>
    </row>
    <row r="41" spans="1:32" ht="10.8" thickBot="1" x14ac:dyDescent="0.25">
      <c r="A41" s="117" t="s">
        <v>35</v>
      </c>
      <c r="B41" s="118"/>
      <c r="C41" s="119"/>
      <c r="D41" s="119"/>
      <c r="E41" s="119"/>
      <c r="F41" s="119"/>
      <c r="G41" s="119"/>
      <c r="H41" s="119"/>
      <c r="I41" s="119"/>
      <c r="J41" s="120"/>
      <c r="K41" s="83">
        <f>SUM(K10:K40)</f>
        <v>0</v>
      </c>
      <c r="L41" s="83">
        <f t="shared" ref="L41:Q41" si="10">SUM(L10:L40)</f>
        <v>0</v>
      </c>
      <c r="M41" s="83">
        <f t="shared" si="10"/>
        <v>0</v>
      </c>
      <c r="N41" s="83">
        <f>SUM(N10:N40)</f>
        <v>0</v>
      </c>
      <c r="O41" s="84"/>
      <c r="P41" s="85"/>
      <c r="Q41" s="85">
        <f t="shared" si="10"/>
        <v>0</v>
      </c>
      <c r="R41" s="86"/>
      <c r="S41" s="86"/>
      <c r="T41" s="86"/>
      <c r="U41" s="86"/>
      <c r="V41" s="87">
        <f>SUM(V10:V40)</f>
        <v>0</v>
      </c>
    </row>
    <row r="42" spans="1:32" x14ac:dyDescent="0.2">
      <c r="A42" s="88"/>
      <c r="B42" s="89"/>
      <c r="C42" s="89"/>
      <c r="D42" s="89"/>
      <c r="E42" s="90"/>
      <c r="F42" s="90"/>
      <c r="G42" s="90"/>
      <c r="H42" s="89"/>
      <c r="I42" s="90"/>
      <c r="J42" s="89"/>
      <c r="K42" s="85"/>
      <c r="L42" s="85"/>
      <c r="M42" s="85"/>
      <c r="N42" s="85"/>
      <c r="O42" s="85"/>
      <c r="P42" s="85"/>
      <c r="Q42" s="85"/>
      <c r="R42" s="86"/>
      <c r="S42" s="86"/>
      <c r="T42" s="86"/>
      <c r="U42" s="86"/>
      <c r="V42" s="87"/>
    </row>
    <row r="43" spans="1:32" ht="10.8" thickBo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 spans="1:32" ht="10.8" thickBot="1" x14ac:dyDescent="0.25">
      <c r="A44" s="114" t="s">
        <v>36</v>
      </c>
      <c r="B44" s="115"/>
      <c r="C44" s="115"/>
      <c r="D44" s="115"/>
      <c r="E44" s="116"/>
      <c r="F44" s="114" t="s">
        <v>37</v>
      </c>
      <c r="G44" s="115"/>
      <c r="H44" s="115"/>
      <c r="I44" s="115"/>
      <c r="J44" s="115"/>
      <c r="K44" s="116"/>
      <c r="L44" s="91"/>
      <c r="M44" s="115"/>
      <c r="N44" s="115"/>
      <c r="O44" s="115"/>
      <c r="P44" s="115"/>
      <c r="Q44" s="115"/>
      <c r="R44" s="116"/>
      <c r="S44" s="92" t="s">
        <v>38</v>
      </c>
      <c r="T44" s="93"/>
      <c r="U44" s="93"/>
      <c r="V44" s="93"/>
      <c r="W44" s="94"/>
    </row>
    <row r="45" spans="1:32" x14ac:dyDescent="0.2">
      <c r="A45" s="95"/>
      <c r="E45" s="96"/>
      <c r="F45" s="95"/>
      <c r="K45" s="96"/>
      <c r="R45" s="96"/>
      <c r="S45" s="97" t="s">
        <v>39</v>
      </c>
      <c r="W45" s="96"/>
    </row>
    <row r="46" spans="1:32" x14ac:dyDescent="0.2">
      <c r="A46" s="95"/>
      <c r="E46" s="96"/>
      <c r="F46" s="95"/>
      <c r="K46" s="96"/>
      <c r="R46" s="96"/>
      <c r="S46" s="95"/>
      <c r="W46" s="96"/>
    </row>
    <row r="47" spans="1:32" x14ac:dyDescent="0.2">
      <c r="A47" s="95"/>
      <c r="E47" s="96"/>
      <c r="F47" s="95"/>
      <c r="K47" s="96"/>
      <c r="R47" s="96"/>
      <c r="S47" s="97"/>
      <c r="W47" s="96"/>
    </row>
    <row r="48" spans="1:32" ht="10.8" thickBot="1" x14ac:dyDescent="0.25">
      <c r="A48" s="95"/>
      <c r="E48" s="96"/>
      <c r="F48" s="95"/>
      <c r="K48" s="96"/>
      <c r="R48" s="96"/>
      <c r="S48" s="95" t="s">
        <v>40</v>
      </c>
      <c r="W48" s="96"/>
    </row>
    <row r="49" spans="1:23" ht="10.8" thickBot="1" x14ac:dyDescent="0.25">
      <c r="A49" s="114" t="s">
        <v>41</v>
      </c>
      <c r="B49" s="115"/>
      <c r="C49" s="115"/>
      <c r="D49" s="115"/>
      <c r="E49" s="116"/>
      <c r="F49" s="114" t="s">
        <v>41</v>
      </c>
      <c r="G49" s="115"/>
      <c r="H49" s="115"/>
      <c r="I49" s="115"/>
      <c r="J49" s="115"/>
      <c r="K49" s="116"/>
      <c r="L49" s="91"/>
      <c r="M49" s="115"/>
      <c r="N49" s="115"/>
      <c r="O49" s="115"/>
      <c r="P49" s="115"/>
      <c r="Q49" s="115"/>
      <c r="R49" s="116"/>
      <c r="S49" s="98" t="s">
        <v>42</v>
      </c>
      <c r="T49" s="28"/>
      <c r="U49" s="28"/>
      <c r="V49" s="28"/>
      <c r="W49" s="99"/>
    </row>
    <row r="51" spans="1:23" x14ac:dyDescent="0.2">
      <c r="M51" s="100"/>
    </row>
    <row r="53" spans="1:23" x14ac:dyDescent="0.2">
      <c r="I53" s="65"/>
    </row>
    <row r="55" spans="1:23" x14ac:dyDescent="0.2">
      <c r="G55" s="65"/>
      <c r="I55" s="65">
        <f>C28-D28</f>
        <v>0</v>
      </c>
    </row>
    <row r="63" spans="1:23" x14ac:dyDescent="0.2">
      <c r="K63" s="101"/>
      <c r="L63" s="101"/>
    </row>
    <row r="64" spans="1:23" x14ac:dyDescent="0.2">
      <c r="K64" s="102"/>
      <c r="L64" s="102"/>
    </row>
  </sheetData>
  <sheetProtection algorithmName="SHA-512" hashValue="LGR5A+3MPBKt5QBDWiYbbiOZZmozoQgK7sbVuTyepsXrIjpIlZuJHyAYOaJk2Y3LyXlZFyNKGAgumbfYJCaXEQ==" saltValue="GcsowBuP4E/OC1BprCxdwQ==" spinCount="100000" sheet="1" objects="1" scenarios="1"/>
  <mergeCells count="63">
    <mergeCell ref="A1:E2"/>
    <mergeCell ref="F1:H2"/>
    <mergeCell ref="I1:U1"/>
    <mergeCell ref="J2:U2"/>
    <mergeCell ref="C3:M3"/>
    <mergeCell ref="O3:P3"/>
    <mergeCell ref="R3:S3"/>
    <mergeCell ref="A7:B7"/>
    <mergeCell ref="C7:J7"/>
    <mergeCell ref="K7:N7"/>
    <mergeCell ref="O7:S9"/>
    <mergeCell ref="A8:B9"/>
    <mergeCell ref="C4:M4"/>
    <mergeCell ref="O4:P4"/>
    <mergeCell ref="D5:E5"/>
    <mergeCell ref="F5:O5"/>
    <mergeCell ref="Q5:R5"/>
    <mergeCell ref="O17:V17"/>
    <mergeCell ref="C8:D8"/>
    <mergeCell ref="E8:F8"/>
    <mergeCell ref="G8:H8"/>
    <mergeCell ref="I8:J8"/>
    <mergeCell ref="K8:K9"/>
    <mergeCell ref="L8:M8"/>
    <mergeCell ref="O10:V10"/>
    <mergeCell ref="O13:V13"/>
    <mergeCell ref="O14:V14"/>
    <mergeCell ref="O15:V15"/>
    <mergeCell ref="O16:V16"/>
    <mergeCell ref="O11:V11"/>
    <mergeCell ref="O12:V12"/>
    <mergeCell ref="O29:V29"/>
    <mergeCell ref="O18:V18"/>
    <mergeCell ref="O19:V19"/>
    <mergeCell ref="O20:V20"/>
    <mergeCell ref="O21:V21"/>
    <mergeCell ref="O22:V22"/>
    <mergeCell ref="O23:V23"/>
    <mergeCell ref="O24:V24"/>
    <mergeCell ref="O25:V25"/>
    <mergeCell ref="O26:V26"/>
    <mergeCell ref="O27:V27"/>
    <mergeCell ref="O28:V28"/>
    <mergeCell ref="A41:J41"/>
    <mergeCell ref="O30:V30"/>
    <mergeCell ref="O31:V31"/>
    <mergeCell ref="O32:V32"/>
    <mergeCell ref="O33:V33"/>
    <mergeCell ref="O34:V34"/>
    <mergeCell ref="O35:V35"/>
    <mergeCell ref="O36:V36"/>
    <mergeCell ref="O37:V37"/>
    <mergeCell ref="O38:V38"/>
    <mergeCell ref="O39:V39"/>
    <mergeCell ref="O40:V40"/>
    <mergeCell ref="A44:E44"/>
    <mergeCell ref="F44:K44"/>
    <mergeCell ref="M44:N44"/>
    <mergeCell ref="O44:R44"/>
    <mergeCell ref="A49:E49"/>
    <mergeCell ref="F49:K49"/>
    <mergeCell ref="M49:N49"/>
    <mergeCell ref="O49:R49"/>
  </mergeCells>
  <conditionalFormatting sqref="A10:F10 A40:N40 W10:W40 A11:D39">
    <cfRule type="expression" dxfId="839" priority="871" stopIfTrue="1">
      <formula>AND(OR(WEEKDAY($A10)=1,WEEKDAY($A10)=7),MOD(ROW(),2)=0)</formula>
    </cfRule>
  </conditionalFormatting>
  <conditionalFormatting sqref="A10:F10 W10:W40 A11:D39 A40:N40">
    <cfRule type="expression" dxfId="838" priority="873" stopIfTrue="1">
      <formula>AND(AND(WEEKDAY($A10)&gt;1,WEEKDAY($A10)&lt;7),MOD(ROW(),2)=0)</formula>
    </cfRule>
    <cfRule type="expression" dxfId="837" priority="872" stopIfTrue="1">
      <formula>AND(OR(WEEKDAY($A10)=1,WEEKDAY($A10)=7),MOD(ROW(),2)&lt;&gt;0)</formula>
    </cfRule>
  </conditionalFormatting>
  <conditionalFormatting sqref="C20:C23">
    <cfRule type="expression" dxfId="836" priority="532" stopIfTrue="1">
      <formula>AND(OR(WEEKDAY($A20)=1,WEEKDAY($A20)=7),MOD(ROW(),2)=0)</formula>
    </cfRule>
    <cfRule type="expression" dxfId="835" priority="534" stopIfTrue="1">
      <formula>AND(AND(WEEKDAY($A20)&gt;1,WEEKDAY($A20)&lt;7),MOD(ROW(),2)=0)</formula>
    </cfRule>
    <cfRule type="expression" dxfId="834" priority="533" stopIfTrue="1">
      <formula>AND(OR(WEEKDAY($A20)=1,WEEKDAY($A20)=7),MOD(ROW(),2)&lt;&gt;0)</formula>
    </cfRule>
    <cfRule type="expression" dxfId="833" priority="540" stopIfTrue="1">
      <formula>AND(AND(WEEKDAY($A20)&gt;1,WEEKDAY($A20)&lt;7),MOD(ROW(),2)=0)</formula>
    </cfRule>
    <cfRule type="expression" dxfId="832" priority="539" stopIfTrue="1">
      <formula>AND(OR(WEEKDAY($A20)=1,WEEKDAY($A20)=7),MOD(ROW(),2)&lt;&gt;0)</formula>
    </cfRule>
    <cfRule type="expression" dxfId="831" priority="538" stopIfTrue="1">
      <formula>AND(OR(WEEKDAY($A20)=1,WEEKDAY($A20)=7),MOD(ROW(),2)=0)</formula>
    </cfRule>
  </conditionalFormatting>
  <conditionalFormatting sqref="C21:C23">
    <cfRule type="expression" dxfId="830" priority="530" stopIfTrue="1">
      <formula>AND(OR(WEEKDAY($A21)=1,WEEKDAY($A21)=7),MOD(ROW(),2)&lt;&gt;0)</formula>
    </cfRule>
    <cfRule type="expression" dxfId="829" priority="529" stopIfTrue="1">
      <formula>AND(OR(WEEKDAY($A21)=1,WEEKDAY($A21)=7),MOD(ROW(),2)=0)</formula>
    </cfRule>
    <cfRule type="expression" dxfId="828" priority="531" stopIfTrue="1">
      <formula>AND(AND(WEEKDAY($A21)&gt;1,WEEKDAY($A21)&lt;7),MOD(ROW(),2)=0)</formula>
    </cfRule>
  </conditionalFormatting>
  <conditionalFormatting sqref="C22:C23">
    <cfRule type="expression" dxfId="827" priority="535" stopIfTrue="1">
      <formula>AND(OR(WEEKDAY($A22)=1,WEEKDAY($A22)=7),MOD(ROW(),2)=0)</formula>
    </cfRule>
    <cfRule type="expression" dxfId="826" priority="536" stopIfTrue="1">
      <formula>AND(OR(WEEKDAY($A22)=1,WEEKDAY($A22)=7),MOD(ROW(),2)&lt;&gt;0)</formula>
    </cfRule>
    <cfRule type="expression" dxfId="825" priority="537" stopIfTrue="1">
      <formula>AND(AND(WEEKDAY($A22)&gt;1,WEEKDAY($A22)&lt;7),MOD(ROW(),2)=0)</formula>
    </cfRule>
  </conditionalFormatting>
  <conditionalFormatting sqref="C11:D13 C10:F10 E40:F40">
    <cfRule type="expression" dxfId="824" priority="565" stopIfTrue="1">
      <formula>AND(OR(WEEKDAY($A10)=1,WEEKDAY($A10)=7),MOD(ROW(),2)=0)</formula>
    </cfRule>
    <cfRule type="expression" dxfId="823" priority="571" stopIfTrue="1">
      <formula>AND(OR(WEEKDAY($A10)=1,WEEKDAY($A10)=7),MOD(ROW(),2)=0)</formula>
    </cfRule>
  </conditionalFormatting>
  <conditionalFormatting sqref="C11:D13">
    <cfRule type="expression" dxfId="822" priority="562" stopIfTrue="1">
      <formula>AND(OR(WEEKDAY($A11)=1,WEEKDAY($A11)=7),MOD(ROW(),2)=0)</formula>
    </cfRule>
    <cfRule type="expression" dxfId="821" priority="563" stopIfTrue="1">
      <formula>AND(OR(WEEKDAY($A11)=1,WEEKDAY($A11)=7),MOD(ROW(),2)&lt;&gt;0)</formula>
    </cfRule>
    <cfRule type="expression" dxfId="820" priority="564" stopIfTrue="1">
      <formula>AND(AND(WEEKDAY($A11)&gt;1,WEEKDAY($A11)&lt;7),MOD(ROW(),2)=0)</formula>
    </cfRule>
  </conditionalFormatting>
  <conditionalFormatting sqref="C12:D13">
    <cfRule type="expression" dxfId="819" priority="568" stopIfTrue="1">
      <formula>AND(OR(WEEKDAY($A12)=1,WEEKDAY($A12)=7),MOD(ROW(),2)=0)</formula>
    </cfRule>
    <cfRule type="expression" dxfId="818" priority="569" stopIfTrue="1">
      <formula>AND(OR(WEEKDAY($A12)=1,WEEKDAY($A12)=7),MOD(ROW(),2)&lt;&gt;0)</formula>
    </cfRule>
    <cfRule type="expression" dxfId="817" priority="570" stopIfTrue="1">
      <formula>AND(AND(WEEKDAY($A12)&gt;1,WEEKDAY($A12)&lt;7),MOD(ROW(),2)=0)</formula>
    </cfRule>
  </conditionalFormatting>
  <conditionalFormatting sqref="C20:D23">
    <cfRule type="expression" dxfId="816" priority="553" stopIfTrue="1">
      <formula>AND(OR(WEEKDAY($A20)=1,WEEKDAY($A20)=7),MOD(ROW(),2)=0)</formula>
    </cfRule>
    <cfRule type="expression" dxfId="815" priority="555" stopIfTrue="1">
      <formula>AND(AND(WEEKDAY($A20)&gt;1,WEEKDAY($A20)&lt;7),MOD(ROW(),2)=0)</formula>
    </cfRule>
    <cfRule type="expression" dxfId="814" priority="561" stopIfTrue="1">
      <formula>AND(AND(WEEKDAY($A20)&gt;1,WEEKDAY($A20)&lt;7),MOD(ROW(),2)=0)</formula>
    </cfRule>
    <cfRule type="expression" dxfId="813" priority="560" stopIfTrue="1">
      <formula>AND(OR(WEEKDAY($A20)=1,WEEKDAY($A20)=7),MOD(ROW(),2)&lt;&gt;0)</formula>
    </cfRule>
    <cfRule type="expression" dxfId="812" priority="559" stopIfTrue="1">
      <formula>AND(OR(WEEKDAY($A20)=1,WEEKDAY($A20)=7),MOD(ROW(),2)=0)</formula>
    </cfRule>
    <cfRule type="expression" dxfId="811" priority="554" stopIfTrue="1">
      <formula>AND(OR(WEEKDAY($A20)=1,WEEKDAY($A20)=7),MOD(ROW(),2)&lt;&gt;0)</formula>
    </cfRule>
  </conditionalFormatting>
  <conditionalFormatting sqref="C21:D23">
    <cfRule type="expression" dxfId="810" priority="550" stopIfTrue="1">
      <formula>AND(OR(WEEKDAY($A21)=1,WEEKDAY($A21)=7),MOD(ROW(),2)=0)</formula>
    </cfRule>
    <cfRule type="expression" dxfId="809" priority="551" stopIfTrue="1">
      <formula>AND(OR(WEEKDAY($A21)=1,WEEKDAY($A21)=7),MOD(ROW(),2)&lt;&gt;0)</formula>
    </cfRule>
    <cfRule type="expression" dxfId="808" priority="552" stopIfTrue="1">
      <formula>AND(AND(WEEKDAY($A21)&gt;1,WEEKDAY($A21)&lt;7),MOD(ROW(),2)=0)</formula>
    </cfRule>
  </conditionalFormatting>
  <conditionalFormatting sqref="C22:D23">
    <cfRule type="expression" dxfId="807" priority="556" stopIfTrue="1">
      <formula>AND(OR(WEEKDAY($A22)=1,WEEKDAY($A22)=7),MOD(ROW(),2)=0)</formula>
    </cfRule>
    <cfRule type="expression" dxfId="806" priority="558" stopIfTrue="1">
      <formula>AND(AND(WEEKDAY($A22)&gt;1,WEEKDAY($A22)&lt;7),MOD(ROW(),2)=0)</formula>
    </cfRule>
    <cfRule type="expression" dxfId="805" priority="557" stopIfTrue="1">
      <formula>AND(OR(WEEKDAY($A22)=1,WEEKDAY($A22)=7),MOD(ROW(),2)&lt;&gt;0)</formula>
    </cfRule>
  </conditionalFormatting>
  <conditionalFormatting sqref="C10:F10 C11:D13 E40:F40">
    <cfRule type="expression" dxfId="804" priority="572" stopIfTrue="1">
      <formula>AND(OR(WEEKDAY($A10)=1,WEEKDAY($A10)=7),MOD(ROW(),2)&lt;&gt;0)</formula>
    </cfRule>
    <cfRule type="expression" dxfId="803" priority="566" stopIfTrue="1">
      <formula>AND(OR(WEEKDAY($A10)=1,WEEKDAY($A10)=7),MOD(ROW(),2)&lt;&gt;0)</formula>
    </cfRule>
    <cfRule type="expression" dxfId="802" priority="567" stopIfTrue="1">
      <formula>AND(AND(WEEKDAY($A10)&gt;1,WEEKDAY($A10)&lt;7),MOD(ROW(),2)=0)</formula>
    </cfRule>
    <cfRule type="expression" dxfId="801" priority="573" stopIfTrue="1">
      <formula>AND(AND(WEEKDAY($A10)&gt;1,WEEKDAY($A10)&lt;7),MOD(ROW(),2)=0)</formula>
    </cfRule>
  </conditionalFormatting>
  <conditionalFormatting sqref="E10">
    <cfRule type="expression" dxfId="800" priority="545" stopIfTrue="1">
      <formula>AND(OR(WEEKDAY($A10)=1,WEEKDAY($A10)=7),MOD(ROW(),2)&lt;&gt;0)</formula>
    </cfRule>
    <cfRule type="expression" dxfId="799" priority="544" stopIfTrue="1">
      <formula>AND(OR(WEEKDAY($A10)=1,WEEKDAY($A10)=7),MOD(ROW(),2)=0)</formula>
    </cfRule>
    <cfRule type="expression" dxfId="798" priority="543" stopIfTrue="1">
      <formula>AND(AND(WEEKDAY($A10)&gt;1,WEEKDAY($A10)&lt;7),MOD(ROW(),2)=0)</formula>
    </cfRule>
    <cfRule type="expression" dxfId="797" priority="542" stopIfTrue="1">
      <formula>AND(OR(WEEKDAY($A10)=1,WEEKDAY($A10)=7),MOD(ROW(),2)&lt;&gt;0)</formula>
    </cfRule>
    <cfRule type="expression" dxfId="796" priority="541" stopIfTrue="1">
      <formula>AND(OR(WEEKDAY($A10)=1,WEEKDAY($A10)=7),MOD(ROW(),2)=0)</formula>
    </cfRule>
    <cfRule type="expression" dxfId="795" priority="546" stopIfTrue="1">
      <formula>AND(AND(WEEKDAY($A10)&gt;1,WEEKDAY($A10)&lt;7),MOD(ROW(),2)=0)</formula>
    </cfRule>
    <cfRule type="expression" dxfId="794" priority="549" stopIfTrue="1">
      <formula>AND(AND(WEEKDAY($A10)&gt;1,WEEKDAY($A10)&lt;7),MOD(ROW(),2)=0)</formula>
    </cfRule>
    <cfRule type="expression" dxfId="793" priority="548" stopIfTrue="1">
      <formula>AND(OR(WEEKDAY($A10)=1,WEEKDAY($A10)=7),MOD(ROW(),2)&lt;&gt;0)</formula>
    </cfRule>
    <cfRule type="expression" dxfId="792" priority="547" stopIfTrue="1">
      <formula>AND(OR(WEEKDAY($A10)=1,WEEKDAY($A10)=7),MOD(ROW(),2)=0)</formula>
    </cfRule>
  </conditionalFormatting>
  <conditionalFormatting sqref="E10:E39">
    <cfRule type="expression" dxfId="791" priority="288" stopIfTrue="1">
      <formula>AND(AND(WEEKDAY($A10)&gt;1,WEEKDAY($A10)&lt;7),MOD(ROW(),2)=0)</formula>
    </cfRule>
    <cfRule type="expression" dxfId="790" priority="290" stopIfTrue="1">
      <formula>AND(OR(WEEKDAY($A10)=1,WEEKDAY($A10)=7),MOD(ROW(),2)&lt;&gt;0)</formula>
    </cfRule>
    <cfRule type="expression" dxfId="789" priority="291" stopIfTrue="1">
      <formula>AND(AND(WEEKDAY($A10)&gt;1,WEEKDAY($A10)&lt;7),MOD(ROW(),2)=0)</formula>
    </cfRule>
    <cfRule type="expression" dxfId="788" priority="289" stopIfTrue="1">
      <formula>AND(OR(WEEKDAY($A10)=1,WEEKDAY($A10)=7),MOD(ROW(),2)=0)</formula>
    </cfRule>
    <cfRule type="expression" dxfId="787" priority="286" stopIfTrue="1">
      <formula>AND(OR(WEEKDAY($A10)=1,WEEKDAY($A10)=7),MOD(ROW(),2)=0)</formula>
    </cfRule>
    <cfRule type="expression" dxfId="786" priority="287" stopIfTrue="1">
      <formula>AND(OR(WEEKDAY($A10)=1,WEEKDAY($A10)=7),MOD(ROW(),2)&lt;&gt;0)</formula>
    </cfRule>
  </conditionalFormatting>
  <conditionalFormatting sqref="E10:E40">
    <cfRule type="expression" dxfId="785" priority="292" stopIfTrue="1">
      <formula>AND(OR(WEEKDAY($A10)=1,WEEKDAY($A10)=7),MOD(ROW(),2)=0)</formula>
    </cfRule>
    <cfRule type="expression" dxfId="784" priority="294" stopIfTrue="1">
      <formula>AND(AND(WEEKDAY($A10)&gt;1,WEEKDAY($A10)&lt;7),MOD(ROW(),2)=0)</formula>
    </cfRule>
    <cfRule type="expression" dxfId="783" priority="293" stopIfTrue="1">
      <formula>AND(OR(WEEKDAY($A10)=1,WEEKDAY($A10)=7),MOD(ROW(),2)&lt;&gt;0)</formula>
    </cfRule>
  </conditionalFormatting>
  <conditionalFormatting sqref="E40">
    <cfRule type="expression" dxfId="782" priority="520" stopIfTrue="1">
      <formula>AND(OR(WEEKDAY($A40)=1,WEEKDAY($A40)=7),MOD(ROW(),2)=0)</formula>
    </cfRule>
    <cfRule type="expression" dxfId="781" priority="525" stopIfTrue="1">
      <formula>AND(AND(WEEKDAY($A40)&gt;1,WEEKDAY($A40)&lt;7),MOD(ROW(),2)=0)</formula>
    </cfRule>
    <cfRule type="expression" dxfId="780" priority="524" stopIfTrue="1">
      <formula>AND(OR(WEEKDAY($A40)=1,WEEKDAY($A40)=7),MOD(ROW(),2)&lt;&gt;0)</formula>
    </cfRule>
    <cfRule type="expression" dxfId="779" priority="523" stopIfTrue="1">
      <formula>AND(OR(WEEKDAY($A40)=1,WEEKDAY($A40)=7),MOD(ROW(),2)=0)</formula>
    </cfRule>
    <cfRule type="expression" dxfId="778" priority="526" stopIfTrue="1">
      <formula>AND(OR(WEEKDAY($A40)=1,WEEKDAY($A40)=7),MOD(ROW(),2)=0)</formula>
    </cfRule>
    <cfRule type="expression" dxfId="777" priority="522" stopIfTrue="1">
      <formula>AND(AND(WEEKDAY($A40)&gt;1,WEEKDAY($A40)&lt;7),MOD(ROW(),2)=0)</formula>
    </cfRule>
    <cfRule type="expression" dxfId="776" priority="521" stopIfTrue="1">
      <formula>AND(OR(WEEKDAY($A40)=1,WEEKDAY($A40)=7),MOD(ROW(),2)&lt;&gt;0)</formula>
    </cfRule>
    <cfRule type="expression" dxfId="775" priority="527" stopIfTrue="1">
      <formula>AND(OR(WEEKDAY($A40)=1,WEEKDAY($A40)=7),MOD(ROW(),2)&lt;&gt;0)</formula>
    </cfRule>
    <cfRule type="expression" dxfId="774" priority="528" stopIfTrue="1">
      <formula>AND(AND(WEEKDAY($A40)&gt;1,WEEKDAY($A40)&lt;7),MOD(ROW(),2)=0)</formula>
    </cfRule>
  </conditionalFormatting>
  <conditionalFormatting sqref="E10:F38">
    <cfRule type="expression" dxfId="773" priority="295" stopIfTrue="1">
      <formula>AND(OR(WEEKDAY($A10)=1,WEEKDAY($A10)=7),MOD(ROW(),2)=0)</formula>
    </cfRule>
    <cfRule type="expression" dxfId="772" priority="296" stopIfTrue="1">
      <formula>AND(OR(WEEKDAY($A10)=1,WEEKDAY($A10)=7),MOD(ROW(),2)&lt;&gt;0)</formula>
    </cfRule>
    <cfRule type="expression" dxfId="771" priority="298" stopIfTrue="1">
      <formula>AND(OR(WEEKDAY($A10)=1,WEEKDAY($A10)=7),MOD(ROW(),2)=0)</formula>
    </cfRule>
    <cfRule type="expression" dxfId="770" priority="299" stopIfTrue="1">
      <formula>AND(OR(WEEKDAY($A10)=1,WEEKDAY($A10)=7),MOD(ROW(),2)&lt;&gt;0)</formula>
    </cfRule>
    <cfRule type="expression" dxfId="769" priority="300" stopIfTrue="1">
      <formula>AND(AND(WEEKDAY($A10)&gt;1,WEEKDAY($A10)&lt;7),MOD(ROW(),2)=0)</formula>
    </cfRule>
    <cfRule type="expression" dxfId="768" priority="297" stopIfTrue="1">
      <formula>AND(AND(WEEKDAY($A10)&gt;1,WEEKDAY($A10)&lt;7),MOD(ROW(),2)=0)</formula>
    </cfRule>
  </conditionalFormatting>
  <conditionalFormatting sqref="E10:F39 H10:H39">
    <cfRule type="expression" dxfId="767" priority="313" stopIfTrue="1">
      <formula>AND(OR(WEEKDAY($A10)=1,WEEKDAY($A10)=7),MOD(ROW(),2)=0)</formula>
    </cfRule>
  </conditionalFormatting>
  <conditionalFormatting sqref="E39:F39">
    <cfRule type="expression" dxfId="766" priority="55" stopIfTrue="1">
      <formula>AND(OR(WEEKDAY($A39)=1,WEEKDAY($A39)=7),MOD(ROW(),2)=0)</formula>
    </cfRule>
    <cfRule type="expression" dxfId="765" priority="56" stopIfTrue="1">
      <formula>AND(OR(WEEKDAY($A39)=1,WEEKDAY($A39)=7),MOD(ROW(),2)&lt;&gt;0)</formula>
    </cfRule>
    <cfRule type="expression" dxfId="764" priority="57" stopIfTrue="1">
      <formula>AND(AND(WEEKDAY($A39)&gt;1,WEEKDAY($A39)&lt;7),MOD(ROW(),2)=0)</formula>
    </cfRule>
    <cfRule type="expression" dxfId="763" priority="58" stopIfTrue="1">
      <formula>AND(OR(WEEKDAY($A39)=1,WEEKDAY($A39)=7),MOD(ROW(),2)=0)</formula>
    </cfRule>
    <cfRule type="expression" dxfId="762" priority="59" stopIfTrue="1">
      <formula>AND(OR(WEEKDAY($A39)=1,WEEKDAY($A39)=7),MOD(ROW(),2)&lt;&gt;0)</formula>
    </cfRule>
    <cfRule type="expression" dxfId="761" priority="60" stopIfTrue="1">
      <formula>AND(AND(WEEKDAY($A39)&gt;1,WEEKDAY($A39)&lt;7),MOD(ROW(),2)=0)</formula>
    </cfRule>
  </conditionalFormatting>
  <conditionalFormatting sqref="E10:G10">
    <cfRule type="expression" dxfId="760" priority="418" stopIfTrue="1">
      <formula>AND(OR(WEEKDAY($A10)=1,WEEKDAY($A10)=7),MOD(ROW(),2)=0)</formula>
    </cfRule>
    <cfRule type="expression" dxfId="759" priority="419" stopIfTrue="1">
      <formula>AND(OR(WEEKDAY($A10)=1,WEEKDAY($A10)=7),MOD(ROW(),2)&lt;&gt;0)</formula>
    </cfRule>
    <cfRule type="expression" dxfId="758" priority="420" stopIfTrue="1">
      <formula>AND(AND(WEEKDAY($A10)&gt;1,WEEKDAY($A10)&lt;7),MOD(ROW(),2)=0)</formula>
    </cfRule>
  </conditionalFormatting>
  <conditionalFormatting sqref="E10:G38">
    <cfRule type="expression" dxfId="757" priority="196" stopIfTrue="1">
      <formula>AND(OR(WEEKDAY($A10)=1,WEEKDAY($A10)=7),MOD(ROW(),2)=0)</formula>
    </cfRule>
    <cfRule type="expression" dxfId="756" priority="197" stopIfTrue="1">
      <formula>AND(OR(WEEKDAY($A10)=1,WEEKDAY($A10)=7),MOD(ROW(),2)&lt;&gt;0)</formula>
    </cfRule>
    <cfRule type="expression" dxfId="755" priority="198" stopIfTrue="1">
      <formula>AND(AND(WEEKDAY($A10)&gt;1,WEEKDAY($A10)&lt;7),MOD(ROW(),2)=0)</formula>
    </cfRule>
  </conditionalFormatting>
  <conditionalFormatting sqref="E39:G39">
    <cfRule type="expression" dxfId="754" priority="54" stopIfTrue="1">
      <formula>AND(AND(WEEKDAY($A39)&gt;1,WEEKDAY($A39)&lt;7),MOD(ROW(),2)=0)</formula>
    </cfRule>
    <cfRule type="expression" dxfId="753" priority="52" stopIfTrue="1">
      <formula>AND(OR(WEEKDAY($A39)=1,WEEKDAY($A39)=7),MOD(ROW(),2)=0)</formula>
    </cfRule>
    <cfRule type="expression" dxfId="752" priority="53" stopIfTrue="1">
      <formula>AND(OR(WEEKDAY($A39)=1,WEEKDAY($A39)=7),MOD(ROW(),2)&lt;&gt;0)</formula>
    </cfRule>
  </conditionalFormatting>
  <conditionalFormatting sqref="E40:G40">
    <cfRule type="expression" dxfId="751" priority="597" stopIfTrue="1">
      <formula>AND(AND(WEEKDAY($A40)&gt;1,WEEKDAY($A40)&lt;7),MOD(ROW(),2)=0)</formula>
    </cfRule>
    <cfRule type="expression" dxfId="750" priority="596" stopIfTrue="1">
      <formula>AND(OR(WEEKDAY($A40)=1,WEEKDAY($A40)=7),MOD(ROW(),2)&lt;&gt;0)</formula>
    </cfRule>
    <cfRule type="expression" dxfId="749" priority="595" stopIfTrue="1">
      <formula>AND(OR(WEEKDAY($A40)=1,WEEKDAY($A40)=7),MOD(ROW(),2)=0)</formula>
    </cfRule>
    <cfRule type="expression" dxfId="748" priority="758" stopIfTrue="1">
      <formula>AND(OR(WEEKDAY($A40)=1,WEEKDAY($A40)=7),MOD(ROW(),2)&lt;&gt;0)</formula>
    </cfRule>
    <cfRule type="expression" dxfId="747" priority="759" stopIfTrue="1">
      <formula>AND(AND(WEEKDAY($A40)&gt;1,WEEKDAY($A40)&lt;7),MOD(ROW(),2)=0)</formula>
    </cfRule>
    <cfRule type="expression" dxfId="746" priority="602" stopIfTrue="1">
      <formula>AND(OR(WEEKDAY($A40)=1,WEEKDAY($A40)=7),MOD(ROW(),2)&lt;&gt;0)</formula>
    </cfRule>
    <cfRule type="expression" dxfId="745" priority="601" stopIfTrue="1">
      <formula>AND(OR(WEEKDAY($A40)=1,WEEKDAY($A40)=7),MOD(ROW(),2)=0)</formula>
    </cfRule>
    <cfRule type="expression" dxfId="744" priority="757" stopIfTrue="1">
      <formula>AND(OR(WEEKDAY($A40)=1,WEEKDAY($A40)=7),MOD(ROW(),2)=0)</formula>
    </cfRule>
    <cfRule type="expression" dxfId="743" priority="600" stopIfTrue="1">
      <formula>AND(AND(WEEKDAY($A40)&gt;1,WEEKDAY($A40)&lt;7),MOD(ROW(),2)=0)</formula>
    </cfRule>
    <cfRule type="expression" dxfId="742" priority="605" stopIfTrue="1">
      <formula>AND(OR(WEEKDAY($A40)=1,WEEKDAY($A40)=7),MOD(ROW(),2)&lt;&gt;0)</formula>
    </cfRule>
    <cfRule type="expression" dxfId="741" priority="604" stopIfTrue="1">
      <formula>AND(OR(WEEKDAY($A40)=1,WEEKDAY($A40)=7),MOD(ROW(),2)=0)</formula>
    </cfRule>
    <cfRule type="expression" dxfId="740" priority="603" stopIfTrue="1">
      <formula>AND(AND(WEEKDAY($A40)&gt;1,WEEKDAY($A40)&lt;7),MOD(ROW(),2)=0)</formula>
    </cfRule>
    <cfRule type="expression" dxfId="739" priority="599" stopIfTrue="1">
      <formula>AND(OR(WEEKDAY($A40)=1,WEEKDAY($A40)=7),MOD(ROW(),2)&lt;&gt;0)</formula>
    </cfRule>
    <cfRule type="expression" dxfId="738" priority="598" stopIfTrue="1">
      <formula>AND(OR(WEEKDAY($A40)=1,WEEKDAY($A40)=7),MOD(ROW(),2)=0)</formula>
    </cfRule>
    <cfRule type="expression" dxfId="737" priority="606" stopIfTrue="1">
      <formula>AND(AND(WEEKDAY($A40)&gt;1,WEEKDAY($A40)&lt;7),MOD(ROW(),2)=0)</formula>
    </cfRule>
  </conditionalFormatting>
  <conditionalFormatting sqref="E40:H40 W33">
    <cfRule type="expression" dxfId="736" priority="829" stopIfTrue="1">
      <formula>AND(OR(WEEKDAY($A33)=1,WEEKDAY($A33)=7),MOD(ROW(),2)=0)</formula>
    </cfRule>
  </conditionalFormatting>
  <conditionalFormatting sqref="E40:H40 W35:W37">
    <cfRule type="expression" dxfId="735" priority="682" stopIfTrue="1">
      <formula>AND(OR(WEEKDAY($A35)=1,WEEKDAY($A35)=7),MOD(ROW(),2)=0)</formula>
    </cfRule>
  </conditionalFormatting>
  <conditionalFormatting sqref="E40:H40 W36">
    <cfRule type="expression" dxfId="734" priority="670" stopIfTrue="1">
      <formula>AND(OR(WEEKDAY($A36)=1,WEEKDAY($A36)=7),MOD(ROW(),2)=0)</formula>
    </cfRule>
  </conditionalFormatting>
  <conditionalFormatting sqref="E40:H40">
    <cfRule type="expression" dxfId="733" priority="774" stopIfTrue="1">
      <formula>AND(AND(WEEKDAY($A40)&gt;1,WEEKDAY($A40)&lt;7),MOD(ROW(),2)=0)</formula>
    </cfRule>
    <cfRule type="expression" dxfId="732" priority="773" stopIfTrue="1">
      <formula>AND(OR(WEEKDAY($A40)=1,WEEKDAY($A40)=7),MOD(ROW(),2)&lt;&gt;0)</formula>
    </cfRule>
    <cfRule type="expression" dxfId="731" priority="772" stopIfTrue="1">
      <formula>AND(OR(WEEKDAY($A40)=1,WEEKDAY($A40)=7),MOD(ROW(),2)=0)</formula>
    </cfRule>
    <cfRule type="expression" dxfId="730" priority="770" stopIfTrue="1">
      <formula>AND(OR(WEEKDAY($A40)=1,WEEKDAY($A40)=7),MOD(ROW(),2)&lt;&gt;0)</formula>
    </cfRule>
    <cfRule type="expression" dxfId="729" priority="769" stopIfTrue="1">
      <formula>AND(OR(WEEKDAY($A40)=1,WEEKDAY($A40)=7),MOD(ROW(),2)=0)</formula>
    </cfRule>
    <cfRule type="expression" dxfId="728" priority="768" stopIfTrue="1">
      <formula>AND(AND(WEEKDAY($A40)&gt;1,WEEKDAY($A40)&lt;7),MOD(ROW(),2)=0)</formula>
    </cfRule>
    <cfRule type="expression" dxfId="727" priority="767" stopIfTrue="1">
      <formula>AND(OR(WEEKDAY($A40)=1,WEEKDAY($A40)=7),MOD(ROW(),2)&lt;&gt;0)</formula>
    </cfRule>
    <cfRule type="expression" dxfId="726" priority="766" stopIfTrue="1">
      <formula>AND(OR(WEEKDAY($A40)=1,WEEKDAY($A40)=7),MOD(ROW(),2)=0)</formula>
    </cfRule>
    <cfRule type="expression" dxfId="725" priority="765" stopIfTrue="1">
      <formula>AND(AND(WEEKDAY($A40)&gt;1,WEEKDAY($A40)&lt;7),MOD(ROW(),2)=0)</formula>
    </cfRule>
    <cfRule type="expression" dxfId="724" priority="764" stopIfTrue="1">
      <formula>AND(OR(WEEKDAY($A40)=1,WEEKDAY($A40)=7),MOD(ROW(),2)&lt;&gt;0)</formula>
    </cfRule>
    <cfRule type="expression" dxfId="723" priority="763" stopIfTrue="1">
      <formula>AND(OR(WEEKDAY($A40)=1,WEEKDAY($A40)=7),MOD(ROW(),2)=0)</formula>
    </cfRule>
    <cfRule type="expression" dxfId="722" priority="762" stopIfTrue="1">
      <formula>AND(AND(WEEKDAY($A40)&gt;1,WEEKDAY($A40)&lt;7),MOD(ROW(),2)=0)</formula>
    </cfRule>
    <cfRule type="expression" dxfId="721" priority="761" stopIfTrue="1">
      <formula>AND(OR(WEEKDAY($A40)=1,WEEKDAY($A40)=7),MOD(ROW(),2)&lt;&gt;0)</formula>
    </cfRule>
    <cfRule type="expression" dxfId="720" priority="760" stopIfTrue="1">
      <formula>AND(OR(WEEKDAY($A40)=1,WEEKDAY($A40)=7),MOD(ROW(),2)=0)</formula>
    </cfRule>
    <cfRule type="expression" dxfId="719" priority="756" stopIfTrue="1">
      <formula>AND(AND(WEEKDAY($A40)&gt;1,WEEKDAY($A40)&lt;7),MOD(ROW(),2)=0)</formula>
    </cfRule>
    <cfRule type="expression" dxfId="718" priority="755" stopIfTrue="1">
      <formula>AND(OR(WEEKDAY($A40)=1,WEEKDAY($A40)=7),MOD(ROW(),2)&lt;&gt;0)</formula>
    </cfRule>
    <cfRule type="expression" dxfId="717" priority="754" stopIfTrue="1">
      <formula>AND(OR(WEEKDAY($A40)=1,WEEKDAY($A40)=7),MOD(ROW(),2)=0)</formula>
    </cfRule>
    <cfRule type="expression" dxfId="716" priority="753" stopIfTrue="1">
      <formula>AND(AND(WEEKDAY($A40)&gt;1,WEEKDAY($A40)&lt;7),MOD(ROW(),2)=0)</formula>
    </cfRule>
    <cfRule type="expression" dxfId="715" priority="752" stopIfTrue="1">
      <formula>AND(OR(WEEKDAY($A40)=1,WEEKDAY($A40)=7),MOD(ROW(),2)&lt;&gt;0)</formula>
    </cfRule>
    <cfRule type="expression" dxfId="714" priority="751" stopIfTrue="1">
      <formula>AND(OR(WEEKDAY($A40)=1,WEEKDAY($A40)=7),MOD(ROW(),2)=0)</formula>
    </cfRule>
    <cfRule type="expression" dxfId="713" priority="750" stopIfTrue="1">
      <formula>AND(AND(WEEKDAY($A40)&gt;1,WEEKDAY($A40)&lt;7),MOD(ROW(),2)=0)</formula>
    </cfRule>
    <cfRule type="expression" dxfId="712" priority="749" stopIfTrue="1">
      <formula>AND(OR(WEEKDAY($A40)=1,WEEKDAY($A40)=7),MOD(ROW(),2)&lt;&gt;0)</formula>
    </cfRule>
    <cfRule type="expression" dxfId="711" priority="748" stopIfTrue="1">
      <formula>AND(OR(WEEKDAY($A40)=1,WEEKDAY($A40)=7),MOD(ROW(),2)=0)</formula>
    </cfRule>
    <cfRule type="expression" dxfId="710" priority="747" stopIfTrue="1">
      <formula>AND(AND(WEEKDAY($A40)&gt;1,WEEKDAY($A40)&lt;7),MOD(ROW(),2)=0)</formula>
    </cfRule>
    <cfRule type="expression" dxfId="709" priority="746" stopIfTrue="1">
      <formula>AND(OR(WEEKDAY($A40)=1,WEEKDAY($A40)=7),MOD(ROW(),2)&lt;&gt;0)</formula>
    </cfRule>
    <cfRule type="expression" dxfId="708" priority="745" stopIfTrue="1">
      <formula>AND(OR(WEEKDAY($A40)=1,WEEKDAY($A40)=7),MOD(ROW(),2)=0)</formula>
    </cfRule>
    <cfRule type="expression" dxfId="707" priority="744" stopIfTrue="1">
      <formula>AND(AND(WEEKDAY($A40)&gt;1,WEEKDAY($A40)&lt;7),MOD(ROW(),2)=0)</formula>
    </cfRule>
    <cfRule type="expression" dxfId="706" priority="743" stopIfTrue="1">
      <formula>AND(OR(WEEKDAY($A40)=1,WEEKDAY($A40)=7),MOD(ROW(),2)&lt;&gt;0)</formula>
    </cfRule>
    <cfRule type="expression" dxfId="705" priority="742" stopIfTrue="1">
      <formula>AND(OR(WEEKDAY($A40)=1,WEEKDAY($A40)=7),MOD(ROW(),2)=0)</formula>
    </cfRule>
    <cfRule type="expression" dxfId="704" priority="741" stopIfTrue="1">
      <formula>AND(AND(WEEKDAY($A40)&gt;1,WEEKDAY($A40)&lt;7),MOD(ROW(),2)=0)</formula>
    </cfRule>
    <cfRule type="expression" dxfId="703" priority="740" stopIfTrue="1">
      <formula>AND(OR(WEEKDAY($A40)=1,WEEKDAY($A40)=7),MOD(ROW(),2)&lt;&gt;0)</formula>
    </cfRule>
    <cfRule type="expression" dxfId="702" priority="739" stopIfTrue="1">
      <formula>AND(OR(WEEKDAY($A40)=1,WEEKDAY($A40)=7),MOD(ROW(),2)=0)</formula>
    </cfRule>
    <cfRule type="expression" dxfId="701" priority="738" stopIfTrue="1">
      <formula>AND(AND(WEEKDAY($A40)&gt;1,WEEKDAY($A40)&lt;7),MOD(ROW(),2)=0)</formula>
    </cfRule>
    <cfRule type="expression" dxfId="700" priority="737" stopIfTrue="1">
      <formula>AND(OR(WEEKDAY($A40)=1,WEEKDAY($A40)=7),MOD(ROW(),2)&lt;&gt;0)</formula>
    </cfRule>
    <cfRule type="expression" dxfId="699" priority="736" stopIfTrue="1">
      <formula>AND(OR(WEEKDAY($A40)=1,WEEKDAY($A40)=7),MOD(ROW(),2)=0)</formula>
    </cfRule>
    <cfRule type="expression" dxfId="698" priority="735" stopIfTrue="1">
      <formula>AND(AND(WEEKDAY($A40)&gt;1,WEEKDAY($A40)&lt;7),MOD(ROW(),2)=0)</formula>
    </cfRule>
    <cfRule type="expression" dxfId="697" priority="734" stopIfTrue="1">
      <formula>AND(OR(WEEKDAY($A40)=1,WEEKDAY($A40)=7),MOD(ROW(),2)&lt;&gt;0)</formula>
    </cfRule>
    <cfRule type="expression" dxfId="696" priority="733" stopIfTrue="1">
      <formula>AND(OR(WEEKDAY($A40)=1,WEEKDAY($A40)=7),MOD(ROW(),2)=0)</formula>
    </cfRule>
    <cfRule type="expression" dxfId="695" priority="732" stopIfTrue="1">
      <formula>AND(AND(WEEKDAY($A40)&gt;1,WEEKDAY($A40)&lt;7),MOD(ROW(),2)=0)</formula>
    </cfRule>
    <cfRule type="expression" dxfId="694" priority="731" stopIfTrue="1">
      <formula>AND(OR(WEEKDAY($A40)=1,WEEKDAY($A40)=7),MOD(ROW(),2)&lt;&gt;0)</formula>
    </cfRule>
    <cfRule type="expression" dxfId="693" priority="730" stopIfTrue="1">
      <formula>AND(OR(WEEKDAY($A40)=1,WEEKDAY($A40)=7),MOD(ROW(),2)=0)</formula>
    </cfRule>
    <cfRule type="expression" dxfId="692" priority="729" stopIfTrue="1">
      <formula>AND(AND(WEEKDAY($A40)&gt;1,WEEKDAY($A40)&lt;7),MOD(ROW(),2)=0)</formula>
    </cfRule>
    <cfRule type="expression" dxfId="691" priority="728" stopIfTrue="1">
      <formula>AND(OR(WEEKDAY($A40)=1,WEEKDAY($A40)=7),MOD(ROW(),2)&lt;&gt;0)</formula>
    </cfRule>
    <cfRule type="expression" dxfId="690" priority="727" stopIfTrue="1">
      <formula>AND(OR(WEEKDAY($A40)=1,WEEKDAY($A40)=7),MOD(ROW(),2)=0)</formula>
    </cfRule>
    <cfRule type="expression" dxfId="689" priority="669" stopIfTrue="1">
      <formula>AND(AND(WEEKDAY($A40)&gt;1,WEEKDAY($A40)&lt;7),MOD(ROW(),2)=0)</formula>
    </cfRule>
    <cfRule type="expression" dxfId="688" priority="726" stopIfTrue="1">
      <formula>AND(AND(WEEKDAY($A40)&gt;1,WEEKDAY($A40)&lt;7),MOD(ROW(),2)=0)</formula>
    </cfRule>
    <cfRule type="expression" dxfId="687" priority="725" stopIfTrue="1">
      <formula>AND(OR(WEEKDAY($A40)=1,WEEKDAY($A40)=7),MOD(ROW(),2)&lt;&gt;0)</formula>
    </cfRule>
    <cfRule type="expression" dxfId="686" priority="724" stopIfTrue="1">
      <formula>AND(OR(WEEKDAY($A40)=1,WEEKDAY($A40)=7),MOD(ROW(),2)=0)</formula>
    </cfRule>
    <cfRule type="expression" dxfId="685" priority="723" stopIfTrue="1">
      <formula>AND(AND(WEEKDAY($A40)&gt;1,WEEKDAY($A40)&lt;7),MOD(ROW(),2)=0)</formula>
    </cfRule>
    <cfRule type="expression" dxfId="684" priority="721" stopIfTrue="1">
      <formula>AND(OR(WEEKDAY($A40)=1,WEEKDAY($A40)=7),MOD(ROW(),2)=0)</formula>
    </cfRule>
    <cfRule type="expression" dxfId="683" priority="720" stopIfTrue="1">
      <formula>AND(AND(WEEKDAY($A40)&gt;1,WEEKDAY($A40)&lt;7),MOD(ROW(),2)=0)</formula>
    </cfRule>
    <cfRule type="expression" dxfId="682" priority="719" stopIfTrue="1">
      <formula>AND(OR(WEEKDAY($A40)=1,WEEKDAY($A40)=7),MOD(ROW(),2)&lt;&gt;0)</formula>
    </cfRule>
    <cfRule type="expression" dxfId="681" priority="718" stopIfTrue="1">
      <formula>AND(OR(WEEKDAY($A40)=1,WEEKDAY($A40)=7),MOD(ROW(),2)=0)</formula>
    </cfRule>
    <cfRule type="expression" dxfId="680" priority="717" stopIfTrue="1">
      <formula>AND(AND(WEEKDAY($A40)&gt;1,WEEKDAY($A40)&lt;7),MOD(ROW(),2)=0)</formula>
    </cfRule>
    <cfRule type="expression" dxfId="679" priority="716" stopIfTrue="1">
      <formula>AND(OR(WEEKDAY($A40)=1,WEEKDAY($A40)=7),MOD(ROW(),2)&lt;&gt;0)</formula>
    </cfRule>
    <cfRule type="expression" dxfId="678" priority="715" stopIfTrue="1">
      <formula>AND(OR(WEEKDAY($A40)=1,WEEKDAY($A40)=7),MOD(ROW(),2)=0)</formula>
    </cfRule>
    <cfRule type="expression" dxfId="677" priority="714" stopIfTrue="1">
      <formula>AND(AND(WEEKDAY($A40)&gt;1,WEEKDAY($A40)&lt;7),MOD(ROW(),2)=0)</formula>
    </cfRule>
    <cfRule type="expression" dxfId="676" priority="713" stopIfTrue="1">
      <formula>AND(OR(WEEKDAY($A40)=1,WEEKDAY($A40)=7),MOD(ROW(),2)&lt;&gt;0)</formula>
    </cfRule>
    <cfRule type="expression" dxfId="675" priority="712" stopIfTrue="1">
      <formula>AND(OR(WEEKDAY($A40)=1,WEEKDAY($A40)=7),MOD(ROW(),2)=0)</formula>
    </cfRule>
    <cfRule type="expression" dxfId="674" priority="711" stopIfTrue="1">
      <formula>AND(AND(WEEKDAY($A40)&gt;1,WEEKDAY($A40)&lt;7),MOD(ROW(),2)=0)</formula>
    </cfRule>
    <cfRule type="expression" dxfId="673" priority="710" stopIfTrue="1">
      <formula>AND(OR(WEEKDAY($A40)=1,WEEKDAY($A40)=7),MOD(ROW(),2)&lt;&gt;0)</formula>
    </cfRule>
    <cfRule type="expression" dxfId="672" priority="709" stopIfTrue="1">
      <formula>AND(OR(WEEKDAY($A40)=1,WEEKDAY($A40)=7),MOD(ROW(),2)=0)</formula>
    </cfRule>
    <cfRule type="expression" dxfId="671" priority="708" stopIfTrue="1">
      <formula>AND(AND(WEEKDAY($A40)&gt;1,WEEKDAY($A40)&lt;7),MOD(ROW(),2)=0)</formula>
    </cfRule>
    <cfRule type="expression" dxfId="670" priority="707" stopIfTrue="1">
      <formula>AND(OR(WEEKDAY($A40)=1,WEEKDAY($A40)=7),MOD(ROW(),2)&lt;&gt;0)</formula>
    </cfRule>
    <cfRule type="expression" dxfId="669" priority="706" stopIfTrue="1">
      <formula>AND(OR(WEEKDAY($A40)=1,WEEKDAY($A40)=7),MOD(ROW(),2)=0)</formula>
    </cfRule>
    <cfRule type="expression" dxfId="668" priority="705" stopIfTrue="1">
      <formula>AND(AND(WEEKDAY($A40)&gt;1,WEEKDAY($A40)&lt;7),MOD(ROW(),2)=0)</formula>
    </cfRule>
    <cfRule type="expression" dxfId="667" priority="704" stopIfTrue="1">
      <formula>AND(OR(WEEKDAY($A40)=1,WEEKDAY($A40)=7),MOD(ROW(),2)&lt;&gt;0)</formula>
    </cfRule>
    <cfRule type="expression" dxfId="666" priority="703" stopIfTrue="1">
      <formula>AND(OR(WEEKDAY($A40)=1,WEEKDAY($A40)=7),MOD(ROW(),2)=0)</formula>
    </cfRule>
    <cfRule type="expression" dxfId="665" priority="702" stopIfTrue="1">
      <formula>AND(AND(WEEKDAY($A40)&gt;1,WEEKDAY($A40)&lt;7),MOD(ROW(),2)=0)</formula>
    </cfRule>
    <cfRule type="expression" dxfId="664" priority="701" stopIfTrue="1">
      <formula>AND(OR(WEEKDAY($A40)=1,WEEKDAY($A40)=7),MOD(ROW(),2)&lt;&gt;0)</formula>
    </cfRule>
    <cfRule type="expression" dxfId="663" priority="700" stopIfTrue="1">
      <formula>AND(OR(WEEKDAY($A40)=1,WEEKDAY($A40)=7),MOD(ROW(),2)=0)</formula>
    </cfRule>
    <cfRule type="expression" dxfId="662" priority="699" stopIfTrue="1">
      <formula>AND(AND(WEEKDAY($A40)&gt;1,WEEKDAY($A40)&lt;7),MOD(ROW(),2)=0)</formula>
    </cfRule>
    <cfRule type="expression" dxfId="661" priority="698" stopIfTrue="1">
      <formula>AND(OR(WEEKDAY($A40)=1,WEEKDAY($A40)=7),MOD(ROW(),2)&lt;&gt;0)</formula>
    </cfRule>
    <cfRule type="expression" dxfId="660" priority="697" stopIfTrue="1">
      <formula>AND(OR(WEEKDAY($A40)=1,WEEKDAY($A40)=7),MOD(ROW(),2)=0)</formula>
    </cfRule>
    <cfRule type="expression" dxfId="659" priority="696" stopIfTrue="1">
      <formula>AND(AND(WEEKDAY($A40)&gt;1,WEEKDAY($A40)&lt;7),MOD(ROW(),2)=0)</formula>
    </cfRule>
    <cfRule type="expression" dxfId="658" priority="695" stopIfTrue="1">
      <formula>AND(OR(WEEKDAY($A40)=1,WEEKDAY($A40)=7),MOD(ROW(),2)&lt;&gt;0)</formula>
    </cfRule>
    <cfRule type="expression" dxfId="657" priority="694" stopIfTrue="1">
      <formula>AND(OR(WEEKDAY($A40)=1,WEEKDAY($A40)=7),MOD(ROW(),2)=0)</formula>
    </cfRule>
    <cfRule type="expression" dxfId="656" priority="693" stopIfTrue="1">
      <formula>AND(AND(WEEKDAY($A40)&gt;1,WEEKDAY($A40)&lt;7),MOD(ROW(),2)=0)</formula>
    </cfRule>
    <cfRule type="expression" dxfId="655" priority="692" stopIfTrue="1">
      <formula>AND(OR(WEEKDAY($A40)=1,WEEKDAY($A40)=7),MOD(ROW(),2)&lt;&gt;0)</formula>
    </cfRule>
    <cfRule type="expression" dxfId="654" priority="691" stopIfTrue="1">
      <formula>AND(OR(WEEKDAY($A40)=1,WEEKDAY($A40)=7),MOD(ROW(),2)=0)</formula>
    </cfRule>
    <cfRule type="expression" dxfId="653" priority="690" stopIfTrue="1">
      <formula>AND(AND(WEEKDAY($A40)&gt;1,WEEKDAY($A40)&lt;7),MOD(ROW(),2)=0)</formula>
    </cfRule>
    <cfRule type="expression" dxfId="652" priority="689" stopIfTrue="1">
      <formula>AND(OR(WEEKDAY($A40)=1,WEEKDAY($A40)=7),MOD(ROW(),2)&lt;&gt;0)</formula>
    </cfRule>
    <cfRule type="expression" dxfId="651" priority="688" stopIfTrue="1">
      <formula>AND(OR(WEEKDAY($A40)=1,WEEKDAY($A40)=7),MOD(ROW(),2)=0)</formula>
    </cfRule>
    <cfRule type="expression" dxfId="650" priority="687" stopIfTrue="1">
      <formula>AND(AND(WEEKDAY($A40)&gt;1,WEEKDAY($A40)&lt;7),MOD(ROW(),2)=0)</formula>
    </cfRule>
    <cfRule type="expression" dxfId="649" priority="686" stopIfTrue="1">
      <formula>AND(OR(WEEKDAY($A40)=1,WEEKDAY($A40)=7),MOD(ROW(),2)&lt;&gt;0)</formula>
    </cfRule>
    <cfRule type="expression" dxfId="648" priority="685" stopIfTrue="1">
      <formula>AND(OR(WEEKDAY($A40)=1,WEEKDAY($A40)=7),MOD(ROW(),2)=0)</formula>
    </cfRule>
    <cfRule type="expression" dxfId="647" priority="681" stopIfTrue="1">
      <formula>AND(AND(WEEKDAY($A40)&gt;1,WEEKDAY($A40)&lt;7),MOD(ROW(),2)=0)</formula>
    </cfRule>
    <cfRule type="expression" dxfId="646" priority="680" stopIfTrue="1">
      <formula>AND(OR(WEEKDAY($A40)=1,WEEKDAY($A40)=7),MOD(ROW(),2)&lt;&gt;0)</formula>
    </cfRule>
    <cfRule type="expression" dxfId="645" priority="679" stopIfTrue="1">
      <formula>AND(OR(WEEKDAY($A40)=1,WEEKDAY($A40)=7),MOD(ROW(),2)=0)</formula>
    </cfRule>
    <cfRule type="expression" dxfId="644" priority="678" stopIfTrue="1">
      <formula>AND(AND(WEEKDAY($A40)&gt;1,WEEKDAY($A40)&lt;7),MOD(ROW(),2)=0)</formula>
    </cfRule>
    <cfRule type="expression" dxfId="643" priority="677" stopIfTrue="1">
      <formula>AND(OR(WEEKDAY($A40)=1,WEEKDAY($A40)=7),MOD(ROW(),2)&lt;&gt;0)</formula>
    </cfRule>
    <cfRule type="expression" dxfId="642" priority="676" stopIfTrue="1">
      <formula>AND(OR(WEEKDAY($A40)=1,WEEKDAY($A40)=7),MOD(ROW(),2)=0)</formula>
    </cfRule>
    <cfRule type="expression" dxfId="641" priority="675" stopIfTrue="1">
      <formula>AND(AND(WEEKDAY($A40)&gt;1,WEEKDAY($A40)&lt;7),MOD(ROW(),2)=0)</formula>
    </cfRule>
    <cfRule type="expression" dxfId="640" priority="674" stopIfTrue="1">
      <formula>AND(OR(WEEKDAY($A40)=1,WEEKDAY($A40)=7),MOD(ROW(),2)&lt;&gt;0)</formula>
    </cfRule>
    <cfRule type="expression" dxfId="639" priority="673" stopIfTrue="1">
      <formula>AND(OR(WEEKDAY($A40)=1,WEEKDAY($A40)=7),MOD(ROW(),2)=0)</formula>
    </cfRule>
    <cfRule type="expression" dxfId="638" priority="722" stopIfTrue="1">
      <formula>AND(OR(WEEKDAY($A40)=1,WEEKDAY($A40)=7),MOD(ROW(),2)&lt;&gt;0)</formula>
    </cfRule>
    <cfRule type="expression" dxfId="637" priority="667" stopIfTrue="1">
      <formula>AND(OR(WEEKDAY($A40)=1,WEEKDAY($A40)=7),MOD(ROW(),2)=0)</formula>
    </cfRule>
    <cfRule type="expression" dxfId="636" priority="666" stopIfTrue="1">
      <formula>AND(AND(WEEKDAY($A40)&gt;1,WEEKDAY($A40)&lt;7),MOD(ROW(),2)=0)</formula>
    </cfRule>
    <cfRule type="expression" dxfId="635" priority="665" stopIfTrue="1">
      <formula>AND(OR(WEEKDAY($A40)=1,WEEKDAY($A40)=7),MOD(ROW(),2)&lt;&gt;0)</formula>
    </cfRule>
    <cfRule type="expression" dxfId="634" priority="664" stopIfTrue="1">
      <formula>AND(OR(WEEKDAY($A40)=1,WEEKDAY($A40)=7),MOD(ROW(),2)=0)</formula>
    </cfRule>
    <cfRule type="expression" dxfId="633" priority="663" stopIfTrue="1">
      <formula>AND(AND(WEEKDAY($A40)&gt;1,WEEKDAY($A40)&lt;7),MOD(ROW(),2)=0)</formula>
    </cfRule>
    <cfRule type="expression" dxfId="632" priority="662" stopIfTrue="1">
      <formula>AND(OR(WEEKDAY($A40)=1,WEEKDAY($A40)=7),MOD(ROW(),2)&lt;&gt;0)</formula>
    </cfRule>
    <cfRule type="expression" dxfId="631" priority="661" stopIfTrue="1">
      <formula>AND(OR(WEEKDAY($A40)=1,WEEKDAY($A40)=7),MOD(ROW(),2)=0)</formula>
    </cfRule>
    <cfRule type="expression" dxfId="630" priority="660" stopIfTrue="1">
      <formula>AND(AND(WEEKDAY($A40)&gt;1,WEEKDAY($A40)&lt;7),MOD(ROW(),2)=0)</formula>
    </cfRule>
    <cfRule type="expression" dxfId="629" priority="659" stopIfTrue="1">
      <formula>AND(OR(WEEKDAY($A40)=1,WEEKDAY($A40)=7),MOD(ROW(),2)&lt;&gt;0)</formula>
    </cfRule>
    <cfRule type="expression" dxfId="628" priority="658" stopIfTrue="1">
      <formula>AND(OR(WEEKDAY($A40)=1,WEEKDAY($A40)=7),MOD(ROW(),2)=0)</formula>
    </cfRule>
    <cfRule type="expression" dxfId="627" priority="657" stopIfTrue="1">
      <formula>AND(AND(WEEKDAY($A40)&gt;1,WEEKDAY($A40)&lt;7),MOD(ROW(),2)=0)</formula>
    </cfRule>
    <cfRule type="expression" dxfId="626" priority="656" stopIfTrue="1">
      <formula>AND(OR(WEEKDAY($A40)=1,WEEKDAY($A40)=7),MOD(ROW(),2)&lt;&gt;0)</formula>
    </cfRule>
    <cfRule type="expression" dxfId="625" priority="655" stopIfTrue="1">
      <formula>AND(OR(WEEKDAY($A40)=1,WEEKDAY($A40)=7),MOD(ROW(),2)=0)</formula>
    </cfRule>
    <cfRule type="expression" dxfId="624" priority="654" stopIfTrue="1">
      <formula>AND(AND(WEEKDAY($A40)&gt;1,WEEKDAY($A40)&lt;7),MOD(ROW(),2)=0)</formula>
    </cfRule>
    <cfRule type="expression" dxfId="623" priority="653" stopIfTrue="1">
      <formula>AND(OR(WEEKDAY($A40)=1,WEEKDAY($A40)=7),MOD(ROW(),2)&lt;&gt;0)</formula>
    </cfRule>
    <cfRule type="expression" dxfId="622" priority="652" stopIfTrue="1">
      <formula>AND(OR(WEEKDAY($A40)=1,WEEKDAY($A40)=7),MOD(ROW(),2)=0)</formula>
    </cfRule>
    <cfRule type="expression" dxfId="621" priority="651" stopIfTrue="1">
      <formula>AND(AND(WEEKDAY($A40)&gt;1,WEEKDAY($A40)&lt;7),MOD(ROW(),2)=0)</formula>
    </cfRule>
    <cfRule type="expression" dxfId="620" priority="650" stopIfTrue="1">
      <formula>AND(OR(WEEKDAY($A40)=1,WEEKDAY($A40)=7),MOD(ROW(),2)&lt;&gt;0)</formula>
    </cfRule>
    <cfRule type="expression" dxfId="619" priority="649" stopIfTrue="1">
      <formula>AND(OR(WEEKDAY($A40)=1,WEEKDAY($A40)=7),MOD(ROW(),2)=0)</formula>
    </cfRule>
    <cfRule type="expression" dxfId="618" priority="648" stopIfTrue="1">
      <formula>AND(AND(WEEKDAY($A40)&gt;1,WEEKDAY($A40)&lt;7),MOD(ROW(),2)=0)</formula>
    </cfRule>
    <cfRule type="expression" dxfId="617" priority="647" stopIfTrue="1">
      <formula>AND(OR(WEEKDAY($A40)=1,WEEKDAY($A40)=7),MOD(ROW(),2)&lt;&gt;0)</formula>
    </cfRule>
    <cfRule type="expression" dxfId="616" priority="646" stopIfTrue="1">
      <formula>AND(OR(WEEKDAY($A40)=1,WEEKDAY($A40)=7),MOD(ROW(),2)=0)</formula>
    </cfRule>
    <cfRule type="expression" dxfId="615" priority="645" stopIfTrue="1">
      <formula>AND(AND(WEEKDAY($A40)&gt;1,WEEKDAY($A40)&lt;7),MOD(ROW(),2)=0)</formula>
    </cfRule>
    <cfRule type="expression" dxfId="614" priority="644" stopIfTrue="1">
      <formula>AND(OR(WEEKDAY($A40)=1,WEEKDAY($A40)=7),MOD(ROW(),2)&lt;&gt;0)</formula>
    </cfRule>
    <cfRule type="expression" dxfId="613" priority="643" stopIfTrue="1">
      <formula>AND(OR(WEEKDAY($A40)=1,WEEKDAY($A40)=7),MOD(ROW(),2)=0)</formula>
    </cfRule>
    <cfRule type="expression" dxfId="612" priority="642" stopIfTrue="1">
      <formula>AND(AND(WEEKDAY($A40)&gt;1,WEEKDAY($A40)&lt;7),MOD(ROW(),2)=0)</formula>
    </cfRule>
    <cfRule type="expression" dxfId="611" priority="641" stopIfTrue="1">
      <formula>AND(OR(WEEKDAY($A40)=1,WEEKDAY($A40)=7),MOD(ROW(),2)&lt;&gt;0)</formula>
    </cfRule>
    <cfRule type="expression" dxfId="610" priority="640" stopIfTrue="1">
      <formula>AND(OR(WEEKDAY($A40)=1,WEEKDAY($A40)=7),MOD(ROW(),2)=0)</formula>
    </cfRule>
    <cfRule type="expression" dxfId="609" priority="639" stopIfTrue="1">
      <formula>AND(AND(WEEKDAY($A40)&gt;1,WEEKDAY($A40)&lt;7),MOD(ROW(),2)=0)</formula>
    </cfRule>
    <cfRule type="expression" dxfId="608" priority="638" stopIfTrue="1">
      <formula>AND(OR(WEEKDAY($A40)=1,WEEKDAY($A40)=7),MOD(ROW(),2)&lt;&gt;0)</formula>
    </cfRule>
    <cfRule type="expression" dxfId="607" priority="637" stopIfTrue="1">
      <formula>AND(OR(WEEKDAY($A40)=1,WEEKDAY($A40)=7),MOD(ROW(),2)=0)</formula>
    </cfRule>
    <cfRule type="expression" dxfId="606" priority="636" stopIfTrue="1">
      <formula>AND(AND(WEEKDAY($A40)&gt;1,WEEKDAY($A40)&lt;7),MOD(ROW(),2)=0)</formula>
    </cfRule>
    <cfRule type="expression" dxfId="605" priority="668" stopIfTrue="1">
      <formula>AND(OR(WEEKDAY($A40)=1,WEEKDAY($A40)=7),MOD(ROW(),2)&lt;&gt;0)</formula>
    </cfRule>
    <cfRule type="expression" dxfId="604" priority="808" stopIfTrue="1">
      <formula>AND(OR(WEEKDAY($A40)=1,WEEKDAY($A40)=7),MOD(ROW(),2)=0)</formula>
    </cfRule>
    <cfRule type="expression" dxfId="603" priority="807" stopIfTrue="1">
      <formula>AND(AND(WEEKDAY($A40)&gt;1,WEEKDAY($A40)&lt;7),MOD(ROW(),2)=0)</formula>
    </cfRule>
    <cfRule type="expression" dxfId="602" priority="806" stopIfTrue="1">
      <formula>AND(OR(WEEKDAY($A40)=1,WEEKDAY($A40)=7),MOD(ROW(),2)&lt;&gt;0)</formula>
    </cfRule>
    <cfRule type="expression" dxfId="601" priority="805" stopIfTrue="1">
      <formula>AND(OR(WEEKDAY($A40)=1,WEEKDAY($A40)=7),MOD(ROW(),2)=0)</formula>
    </cfRule>
    <cfRule type="expression" dxfId="600" priority="804" stopIfTrue="1">
      <formula>AND(AND(WEEKDAY($A40)&gt;1,WEEKDAY($A40)&lt;7),MOD(ROW(),2)=0)</formula>
    </cfRule>
    <cfRule type="expression" dxfId="599" priority="803" stopIfTrue="1">
      <formula>AND(OR(WEEKDAY($A40)=1,WEEKDAY($A40)=7),MOD(ROW(),2)&lt;&gt;0)</formula>
    </cfRule>
    <cfRule type="expression" dxfId="598" priority="802" stopIfTrue="1">
      <formula>AND(OR(WEEKDAY($A40)=1,WEEKDAY($A40)=7),MOD(ROW(),2)=0)</formula>
    </cfRule>
    <cfRule type="expression" dxfId="597" priority="635" stopIfTrue="1">
      <formula>AND(OR(WEEKDAY($A40)=1,WEEKDAY($A40)=7),MOD(ROW(),2)&lt;&gt;0)</formula>
    </cfRule>
    <cfRule type="expression" dxfId="596" priority="634" stopIfTrue="1">
      <formula>AND(OR(WEEKDAY($A40)=1,WEEKDAY($A40)=7),MOD(ROW(),2)=0)</formula>
    </cfRule>
    <cfRule type="expression" dxfId="595" priority="633" stopIfTrue="1">
      <formula>AND(AND(WEEKDAY($A40)&gt;1,WEEKDAY($A40)&lt;7),MOD(ROW(),2)=0)</formula>
    </cfRule>
    <cfRule type="expression" dxfId="594" priority="632" stopIfTrue="1">
      <formula>AND(OR(WEEKDAY($A40)=1,WEEKDAY($A40)=7),MOD(ROW(),2)&lt;&gt;0)</formula>
    </cfRule>
    <cfRule type="expression" dxfId="593" priority="631" stopIfTrue="1">
      <formula>AND(OR(WEEKDAY($A40)=1,WEEKDAY($A40)=7),MOD(ROW(),2)=0)</formula>
    </cfRule>
    <cfRule type="expression" dxfId="592" priority="630" stopIfTrue="1">
      <formula>AND(AND(WEEKDAY($A40)&gt;1,WEEKDAY($A40)&lt;7),MOD(ROW(),2)=0)</formula>
    </cfRule>
    <cfRule type="expression" dxfId="591" priority="629" stopIfTrue="1">
      <formula>AND(OR(WEEKDAY($A40)=1,WEEKDAY($A40)=7),MOD(ROW(),2)&lt;&gt;0)</formula>
    </cfRule>
    <cfRule type="expression" dxfId="590" priority="628" stopIfTrue="1">
      <formula>AND(OR(WEEKDAY($A40)=1,WEEKDAY($A40)=7),MOD(ROW(),2)=0)</formula>
    </cfRule>
    <cfRule type="expression" dxfId="589" priority="627" stopIfTrue="1">
      <formula>AND(AND(WEEKDAY($A40)&gt;1,WEEKDAY($A40)&lt;7),MOD(ROW(),2)=0)</formula>
    </cfRule>
    <cfRule type="expression" dxfId="588" priority="626" stopIfTrue="1">
      <formula>AND(OR(WEEKDAY($A40)=1,WEEKDAY($A40)=7),MOD(ROW(),2)&lt;&gt;0)</formula>
    </cfRule>
    <cfRule type="expression" dxfId="587" priority="625" stopIfTrue="1">
      <formula>AND(OR(WEEKDAY($A40)=1,WEEKDAY($A40)=7),MOD(ROW(),2)=0)</formula>
    </cfRule>
    <cfRule type="expression" dxfId="586" priority="624" stopIfTrue="1">
      <formula>AND(AND(WEEKDAY($A40)&gt;1,WEEKDAY($A40)&lt;7),MOD(ROW(),2)=0)</formula>
    </cfRule>
    <cfRule type="expression" dxfId="585" priority="623" stopIfTrue="1">
      <formula>AND(OR(WEEKDAY($A40)=1,WEEKDAY($A40)=7),MOD(ROW(),2)&lt;&gt;0)</formula>
    </cfRule>
    <cfRule type="expression" dxfId="584" priority="622" stopIfTrue="1">
      <formula>AND(OR(WEEKDAY($A40)=1,WEEKDAY($A40)=7),MOD(ROW(),2)=0)</formula>
    </cfRule>
    <cfRule type="expression" dxfId="583" priority="621" stopIfTrue="1">
      <formula>AND(AND(WEEKDAY($A40)&gt;1,WEEKDAY($A40)&lt;7),MOD(ROW(),2)=0)</formula>
    </cfRule>
    <cfRule type="expression" dxfId="582" priority="620" stopIfTrue="1">
      <formula>AND(OR(WEEKDAY($A40)=1,WEEKDAY($A40)=7),MOD(ROW(),2)&lt;&gt;0)</formula>
    </cfRule>
    <cfRule type="expression" dxfId="581" priority="619" stopIfTrue="1">
      <formula>AND(OR(WEEKDAY($A40)=1,WEEKDAY($A40)=7),MOD(ROW(),2)=0)</formula>
    </cfRule>
    <cfRule type="expression" dxfId="580" priority="618" stopIfTrue="1">
      <formula>AND(AND(WEEKDAY($A40)&gt;1,WEEKDAY($A40)&lt;7),MOD(ROW(),2)=0)</formula>
    </cfRule>
    <cfRule type="expression" dxfId="579" priority="617" stopIfTrue="1">
      <formula>AND(OR(WEEKDAY($A40)=1,WEEKDAY($A40)=7),MOD(ROW(),2)&lt;&gt;0)</formula>
    </cfRule>
    <cfRule type="expression" dxfId="578" priority="616" stopIfTrue="1">
      <formula>AND(OR(WEEKDAY($A40)=1,WEEKDAY($A40)=7),MOD(ROW(),2)=0)</formula>
    </cfRule>
    <cfRule type="expression" dxfId="577" priority="615" stopIfTrue="1">
      <formula>AND(AND(WEEKDAY($A40)&gt;1,WEEKDAY($A40)&lt;7),MOD(ROW(),2)=0)</formula>
    </cfRule>
    <cfRule type="expression" dxfId="576" priority="614" stopIfTrue="1">
      <formula>AND(OR(WEEKDAY($A40)=1,WEEKDAY($A40)=7),MOD(ROW(),2)&lt;&gt;0)</formula>
    </cfRule>
    <cfRule type="expression" dxfId="575" priority="613" stopIfTrue="1">
      <formula>AND(OR(WEEKDAY($A40)=1,WEEKDAY($A40)=7),MOD(ROW(),2)=0)</formula>
    </cfRule>
    <cfRule type="expression" dxfId="574" priority="612" stopIfTrue="1">
      <formula>AND(AND(WEEKDAY($A40)&gt;1,WEEKDAY($A40)&lt;7),MOD(ROW(),2)=0)</formula>
    </cfRule>
    <cfRule type="expression" dxfId="573" priority="611" stopIfTrue="1">
      <formula>AND(OR(WEEKDAY($A40)=1,WEEKDAY($A40)=7),MOD(ROW(),2)&lt;&gt;0)</formula>
    </cfRule>
    <cfRule type="expression" dxfId="572" priority="610" stopIfTrue="1">
      <formula>AND(OR(WEEKDAY($A40)=1,WEEKDAY($A40)=7),MOD(ROW(),2)=0)</formula>
    </cfRule>
    <cfRule type="expression" dxfId="571" priority="609" stopIfTrue="1">
      <formula>AND(AND(WEEKDAY($A40)&gt;1,WEEKDAY($A40)&lt;7),MOD(ROW(),2)=0)</formula>
    </cfRule>
    <cfRule type="expression" dxfId="570" priority="608" stopIfTrue="1">
      <formula>AND(OR(WEEKDAY($A40)=1,WEEKDAY($A40)=7),MOD(ROW(),2)&lt;&gt;0)</formula>
    </cfRule>
    <cfRule type="expression" dxfId="569" priority="607" stopIfTrue="1">
      <formula>AND(OR(WEEKDAY($A40)=1,WEEKDAY($A40)=7),MOD(ROW(),2)=0)</formula>
    </cfRule>
    <cfRule type="expression" dxfId="568" priority="801" stopIfTrue="1">
      <formula>AND(AND(WEEKDAY($A40)&gt;1,WEEKDAY($A40)&lt;7),MOD(ROW(),2)=0)</formula>
    </cfRule>
    <cfRule type="expression" dxfId="567" priority="800" stopIfTrue="1">
      <formula>AND(OR(WEEKDAY($A40)=1,WEEKDAY($A40)=7),MOD(ROW(),2)&lt;&gt;0)</formula>
    </cfRule>
    <cfRule type="expression" dxfId="566" priority="799" stopIfTrue="1">
      <formula>AND(OR(WEEKDAY($A40)=1,WEEKDAY($A40)=7),MOD(ROW(),2)=0)</formula>
    </cfRule>
    <cfRule type="expression" dxfId="565" priority="798" stopIfTrue="1">
      <formula>AND(AND(WEEKDAY($A40)&gt;1,WEEKDAY($A40)&lt;7),MOD(ROW(),2)=0)</formula>
    </cfRule>
    <cfRule type="expression" dxfId="564" priority="797" stopIfTrue="1">
      <formula>AND(OR(WEEKDAY($A40)=1,WEEKDAY($A40)=7),MOD(ROW(),2)&lt;&gt;0)</formula>
    </cfRule>
    <cfRule type="expression" dxfId="563" priority="796" stopIfTrue="1">
      <formula>AND(OR(WEEKDAY($A40)=1,WEEKDAY($A40)=7),MOD(ROW(),2)=0)</formula>
    </cfRule>
    <cfRule type="expression" dxfId="562" priority="795" stopIfTrue="1">
      <formula>AND(AND(WEEKDAY($A40)&gt;1,WEEKDAY($A40)&lt;7),MOD(ROW(),2)=0)</formula>
    </cfRule>
    <cfRule type="expression" dxfId="561" priority="794" stopIfTrue="1">
      <formula>AND(OR(WEEKDAY($A40)=1,WEEKDAY($A40)=7),MOD(ROW(),2)&lt;&gt;0)</formula>
    </cfRule>
    <cfRule type="expression" dxfId="560" priority="793" stopIfTrue="1">
      <formula>AND(OR(WEEKDAY($A40)=1,WEEKDAY($A40)=7),MOD(ROW(),2)=0)</formula>
    </cfRule>
    <cfRule type="expression" dxfId="559" priority="792" stopIfTrue="1">
      <formula>AND(AND(WEEKDAY($A40)&gt;1,WEEKDAY($A40)&lt;7),MOD(ROW(),2)=0)</formula>
    </cfRule>
    <cfRule type="expression" dxfId="558" priority="791" stopIfTrue="1">
      <formula>AND(OR(WEEKDAY($A40)=1,WEEKDAY($A40)=7),MOD(ROW(),2)&lt;&gt;0)</formula>
    </cfRule>
    <cfRule type="expression" dxfId="557" priority="790" stopIfTrue="1">
      <formula>AND(OR(WEEKDAY($A40)=1,WEEKDAY($A40)=7),MOD(ROW(),2)=0)</formula>
    </cfRule>
    <cfRule type="expression" dxfId="556" priority="789" stopIfTrue="1">
      <formula>AND(AND(WEEKDAY($A40)&gt;1,WEEKDAY($A40)&lt;7),MOD(ROW(),2)=0)</formula>
    </cfRule>
    <cfRule type="expression" dxfId="555" priority="788" stopIfTrue="1">
      <formula>AND(OR(WEEKDAY($A40)=1,WEEKDAY($A40)=7),MOD(ROW(),2)&lt;&gt;0)</formula>
    </cfRule>
    <cfRule type="expression" dxfId="554" priority="787" stopIfTrue="1">
      <formula>AND(OR(WEEKDAY($A40)=1,WEEKDAY($A40)=7),MOD(ROW(),2)=0)</formula>
    </cfRule>
    <cfRule type="expression" dxfId="553" priority="786" stopIfTrue="1">
      <formula>AND(AND(WEEKDAY($A40)&gt;1,WEEKDAY($A40)&lt;7),MOD(ROW(),2)=0)</formula>
    </cfRule>
    <cfRule type="expression" dxfId="552" priority="785" stopIfTrue="1">
      <formula>AND(OR(WEEKDAY($A40)=1,WEEKDAY($A40)=7),MOD(ROW(),2)&lt;&gt;0)</formula>
    </cfRule>
    <cfRule type="expression" dxfId="551" priority="784" stopIfTrue="1">
      <formula>AND(OR(WEEKDAY($A40)=1,WEEKDAY($A40)=7),MOD(ROW(),2)=0)</formula>
    </cfRule>
    <cfRule type="expression" dxfId="550" priority="783" stopIfTrue="1">
      <formula>AND(AND(WEEKDAY($A40)&gt;1,WEEKDAY($A40)&lt;7),MOD(ROW(),2)=0)</formula>
    </cfRule>
    <cfRule type="expression" dxfId="549" priority="782" stopIfTrue="1">
      <formula>AND(OR(WEEKDAY($A40)=1,WEEKDAY($A40)=7),MOD(ROW(),2)&lt;&gt;0)</formula>
    </cfRule>
    <cfRule type="expression" dxfId="548" priority="781" stopIfTrue="1">
      <formula>AND(OR(WEEKDAY($A40)=1,WEEKDAY($A40)=7),MOD(ROW(),2)=0)</formula>
    </cfRule>
    <cfRule type="expression" dxfId="547" priority="780" stopIfTrue="1">
      <formula>AND(AND(WEEKDAY($A40)&gt;1,WEEKDAY($A40)&lt;7),MOD(ROW(),2)=0)</formula>
    </cfRule>
    <cfRule type="expression" dxfId="546" priority="779" stopIfTrue="1">
      <formula>AND(OR(WEEKDAY($A40)=1,WEEKDAY($A40)=7),MOD(ROW(),2)&lt;&gt;0)</formula>
    </cfRule>
    <cfRule type="expression" dxfId="545" priority="778" stopIfTrue="1">
      <formula>AND(OR(WEEKDAY($A40)=1,WEEKDAY($A40)=7),MOD(ROW(),2)=0)</formula>
    </cfRule>
    <cfRule type="expression" dxfId="544" priority="809" stopIfTrue="1">
      <formula>AND(OR(WEEKDAY($A40)=1,WEEKDAY($A40)=7),MOD(ROW(),2)&lt;&gt;0)</formula>
    </cfRule>
    <cfRule type="expression" dxfId="543" priority="810" stopIfTrue="1">
      <formula>AND(AND(WEEKDAY($A40)&gt;1,WEEKDAY($A40)&lt;7),MOD(ROW(),2)=0)</formula>
    </cfRule>
    <cfRule type="expression" dxfId="542" priority="811" stopIfTrue="1">
      <formula>AND(OR(WEEKDAY($A40)=1,WEEKDAY($A40)=7),MOD(ROW(),2)=0)</formula>
    </cfRule>
    <cfRule type="expression" dxfId="541" priority="812" stopIfTrue="1">
      <formula>AND(OR(WEEKDAY($A40)=1,WEEKDAY($A40)=7),MOD(ROW(),2)&lt;&gt;0)</formula>
    </cfRule>
    <cfRule type="expression" dxfId="540" priority="813" stopIfTrue="1">
      <formula>AND(AND(WEEKDAY($A40)&gt;1,WEEKDAY($A40)&lt;7),MOD(ROW(),2)=0)</formula>
    </cfRule>
    <cfRule type="expression" dxfId="539" priority="814" stopIfTrue="1">
      <formula>AND(OR(WEEKDAY($A40)=1,WEEKDAY($A40)=7),MOD(ROW(),2)=0)</formula>
    </cfRule>
    <cfRule type="expression" dxfId="538" priority="815" stopIfTrue="1">
      <formula>AND(OR(WEEKDAY($A40)=1,WEEKDAY($A40)=7),MOD(ROW(),2)&lt;&gt;0)</formula>
    </cfRule>
    <cfRule type="expression" dxfId="537" priority="816" stopIfTrue="1">
      <formula>AND(AND(WEEKDAY($A40)&gt;1,WEEKDAY($A40)&lt;7),MOD(ROW(),2)=0)</formula>
    </cfRule>
    <cfRule type="expression" dxfId="536" priority="817" stopIfTrue="1">
      <formula>AND(OR(WEEKDAY($A40)=1,WEEKDAY($A40)=7),MOD(ROW(),2)=0)</formula>
    </cfRule>
    <cfRule type="expression" dxfId="535" priority="818" stopIfTrue="1">
      <formula>AND(OR(WEEKDAY($A40)=1,WEEKDAY($A40)=7),MOD(ROW(),2)&lt;&gt;0)</formula>
    </cfRule>
    <cfRule type="expression" dxfId="534" priority="819" stopIfTrue="1">
      <formula>AND(AND(WEEKDAY($A40)&gt;1,WEEKDAY($A40)&lt;7),MOD(ROW(),2)=0)</formula>
    </cfRule>
    <cfRule type="expression" dxfId="533" priority="820" stopIfTrue="1">
      <formula>AND(OR(WEEKDAY($A40)=1,WEEKDAY($A40)=7),MOD(ROW(),2)=0)</formula>
    </cfRule>
    <cfRule type="expression" dxfId="532" priority="821" stopIfTrue="1">
      <formula>AND(OR(WEEKDAY($A40)=1,WEEKDAY($A40)=7),MOD(ROW(),2)&lt;&gt;0)</formula>
    </cfRule>
    <cfRule type="expression" dxfId="531" priority="822" stopIfTrue="1">
      <formula>AND(AND(WEEKDAY($A40)&gt;1,WEEKDAY($A40)&lt;7),MOD(ROW(),2)=0)</formula>
    </cfRule>
    <cfRule type="expression" dxfId="530" priority="823" stopIfTrue="1">
      <formula>AND(OR(WEEKDAY($A40)=1,WEEKDAY($A40)=7),MOD(ROW(),2)=0)</formula>
    </cfRule>
    <cfRule type="expression" dxfId="529" priority="824" stopIfTrue="1">
      <formula>AND(OR(WEEKDAY($A40)=1,WEEKDAY($A40)=7),MOD(ROW(),2)&lt;&gt;0)</formula>
    </cfRule>
    <cfRule type="expression" dxfId="528" priority="825" stopIfTrue="1">
      <formula>AND(AND(WEEKDAY($A40)&gt;1,WEEKDAY($A40)&lt;7),MOD(ROW(),2)=0)</formula>
    </cfRule>
    <cfRule type="expression" dxfId="527" priority="826" stopIfTrue="1">
      <formula>AND(OR(WEEKDAY($A40)=1,WEEKDAY($A40)=7),MOD(ROW(),2)=0)</formula>
    </cfRule>
    <cfRule type="expression" dxfId="526" priority="827" stopIfTrue="1">
      <formula>AND(OR(WEEKDAY($A40)=1,WEEKDAY($A40)=7),MOD(ROW(),2)&lt;&gt;0)</formula>
    </cfRule>
    <cfRule type="expression" dxfId="525" priority="828" stopIfTrue="1">
      <formula>AND(AND(WEEKDAY($A40)&gt;1,WEEKDAY($A40)&lt;7),MOD(ROW(),2)=0)</formula>
    </cfRule>
    <cfRule type="expression" dxfId="524" priority="777" stopIfTrue="1">
      <formula>AND(AND(WEEKDAY($A40)&gt;1,WEEKDAY($A40)&lt;7),MOD(ROW(),2)=0)</formula>
    </cfRule>
    <cfRule type="expression" dxfId="523" priority="832" stopIfTrue="1">
      <formula>AND(OR(WEEKDAY($A40)=1,WEEKDAY($A40)=7),MOD(ROW(),2)=0)</formula>
    </cfRule>
    <cfRule type="expression" dxfId="522" priority="833" stopIfTrue="1">
      <formula>AND(OR(WEEKDAY($A40)=1,WEEKDAY($A40)=7),MOD(ROW(),2)&lt;&gt;0)</formula>
    </cfRule>
    <cfRule type="expression" dxfId="521" priority="834" stopIfTrue="1">
      <formula>AND(AND(WEEKDAY($A40)&gt;1,WEEKDAY($A40)&lt;7),MOD(ROW(),2)=0)</formula>
    </cfRule>
    <cfRule type="expression" dxfId="520" priority="835" stopIfTrue="1">
      <formula>AND(OR(WEEKDAY($A40)=1,WEEKDAY($A40)=7),MOD(ROW(),2)=0)</formula>
    </cfRule>
    <cfRule type="expression" dxfId="519" priority="836" stopIfTrue="1">
      <formula>AND(OR(WEEKDAY($A40)=1,WEEKDAY($A40)=7),MOD(ROW(),2)&lt;&gt;0)</formula>
    </cfRule>
    <cfRule type="expression" dxfId="518" priority="837" stopIfTrue="1">
      <formula>AND(AND(WEEKDAY($A40)&gt;1,WEEKDAY($A40)&lt;7),MOD(ROW(),2)=0)</formula>
    </cfRule>
    <cfRule type="expression" dxfId="517" priority="850" stopIfTrue="1">
      <formula>AND(OR(WEEKDAY($A40)=1,WEEKDAY($A40)=7),MOD(ROW(),2)=0)</formula>
    </cfRule>
    <cfRule type="expression" dxfId="516" priority="851" stopIfTrue="1">
      <formula>AND(OR(WEEKDAY($A40)=1,WEEKDAY($A40)=7),MOD(ROW(),2)&lt;&gt;0)</formula>
    </cfRule>
    <cfRule type="expression" dxfId="515" priority="852" stopIfTrue="1">
      <formula>AND(AND(WEEKDAY($A40)&gt;1,WEEKDAY($A40)&lt;7),MOD(ROW(),2)=0)</formula>
    </cfRule>
    <cfRule type="expression" dxfId="514" priority="853" stopIfTrue="1">
      <formula>AND(OR(WEEKDAY($A40)=1,WEEKDAY($A40)=7),MOD(ROW(),2)=0)</formula>
    </cfRule>
    <cfRule type="expression" dxfId="513" priority="854" stopIfTrue="1">
      <formula>AND(OR(WEEKDAY($A40)=1,WEEKDAY($A40)=7),MOD(ROW(),2)&lt;&gt;0)</formula>
    </cfRule>
    <cfRule type="expression" dxfId="512" priority="855" stopIfTrue="1">
      <formula>AND(AND(WEEKDAY($A40)&gt;1,WEEKDAY($A40)&lt;7),MOD(ROW(),2)=0)</formula>
    </cfRule>
    <cfRule type="expression" dxfId="511" priority="856" stopIfTrue="1">
      <formula>AND(OR(WEEKDAY($A40)=1,WEEKDAY($A40)=7),MOD(ROW(),2)=0)</formula>
    </cfRule>
    <cfRule type="expression" dxfId="510" priority="857" stopIfTrue="1">
      <formula>AND(OR(WEEKDAY($A40)=1,WEEKDAY($A40)=7),MOD(ROW(),2)&lt;&gt;0)</formula>
    </cfRule>
    <cfRule type="expression" dxfId="509" priority="858" stopIfTrue="1">
      <formula>AND(AND(WEEKDAY($A40)&gt;1,WEEKDAY($A40)&lt;7),MOD(ROW(),2)=0)</formula>
    </cfRule>
    <cfRule type="expression" dxfId="508" priority="859" stopIfTrue="1">
      <formula>AND(OR(WEEKDAY($A40)=1,WEEKDAY($A40)=7),MOD(ROW(),2)=0)</formula>
    </cfRule>
    <cfRule type="expression" dxfId="507" priority="860" stopIfTrue="1">
      <formula>AND(OR(WEEKDAY($A40)=1,WEEKDAY($A40)=7),MOD(ROW(),2)&lt;&gt;0)</formula>
    </cfRule>
    <cfRule type="expression" dxfId="506" priority="861" stopIfTrue="1">
      <formula>AND(AND(WEEKDAY($A40)&gt;1,WEEKDAY($A40)&lt;7),MOD(ROW(),2)=0)</formula>
    </cfRule>
    <cfRule type="expression" dxfId="505" priority="776" stopIfTrue="1">
      <formula>AND(OR(WEEKDAY($A40)=1,WEEKDAY($A40)=7),MOD(ROW(),2)&lt;&gt;0)</formula>
    </cfRule>
    <cfRule type="expression" dxfId="504" priority="775" stopIfTrue="1">
      <formula>AND(OR(WEEKDAY($A40)=1,WEEKDAY($A40)=7),MOD(ROW(),2)=0)</formula>
    </cfRule>
    <cfRule type="expression" dxfId="503" priority="771" stopIfTrue="1">
      <formula>AND(AND(WEEKDAY($A40)&gt;1,WEEKDAY($A40)&lt;7),MOD(ROW(),2)=0)</formula>
    </cfRule>
  </conditionalFormatting>
  <conditionalFormatting sqref="F10">
    <cfRule type="expression" dxfId="502" priority="389" stopIfTrue="1">
      <formula>AND(OR(WEEKDAY($A10)=1,WEEKDAY($A10)=7),MOD(ROW(),2)&lt;&gt;0)</formula>
    </cfRule>
    <cfRule type="expression" dxfId="501" priority="390" stopIfTrue="1">
      <formula>AND(AND(WEEKDAY($A10)&gt;1,WEEKDAY($A10)&lt;7),MOD(ROW(),2)=0)</formula>
    </cfRule>
    <cfRule type="expression" dxfId="500" priority="391" stopIfTrue="1">
      <formula>AND(OR(WEEKDAY($A10)=1,WEEKDAY($A10)=7),MOD(ROW(),2)=0)</formula>
    </cfRule>
    <cfRule type="expression" dxfId="499" priority="392" stopIfTrue="1">
      <formula>AND(OR(WEEKDAY($A10)=1,WEEKDAY($A10)=7),MOD(ROW(),2)&lt;&gt;0)</formula>
    </cfRule>
    <cfRule type="expression" dxfId="498" priority="393" stopIfTrue="1">
      <formula>AND(AND(WEEKDAY($A10)&gt;1,WEEKDAY($A10)&lt;7),MOD(ROW(),2)=0)</formula>
    </cfRule>
    <cfRule type="expression" dxfId="497" priority="394" stopIfTrue="1">
      <formula>AND(OR(WEEKDAY($A10)=1,WEEKDAY($A10)=7),MOD(ROW(),2)=0)</formula>
    </cfRule>
    <cfRule type="expression" dxfId="496" priority="395" stopIfTrue="1">
      <formula>AND(OR(WEEKDAY($A10)=1,WEEKDAY($A10)=7),MOD(ROW(),2)&lt;&gt;0)</formula>
    </cfRule>
    <cfRule type="expression" dxfId="495" priority="396" stopIfTrue="1">
      <formula>AND(AND(WEEKDAY($A10)&gt;1,WEEKDAY($A10)&lt;7),MOD(ROW(),2)=0)</formula>
    </cfRule>
    <cfRule type="expression" dxfId="494" priority="397" stopIfTrue="1">
      <formula>AND(OR(WEEKDAY($A10)=1,WEEKDAY($A10)=7),MOD(ROW(),2)=0)</formula>
    </cfRule>
    <cfRule type="expression" dxfId="493" priority="398" stopIfTrue="1">
      <formula>AND(OR(WEEKDAY($A10)=1,WEEKDAY($A10)=7),MOD(ROW(),2)&lt;&gt;0)</formula>
    </cfRule>
    <cfRule type="expression" dxfId="492" priority="399" stopIfTrue="1">
      <formula>AND(AND(WEEKDAY($A10)&gt;1,WEEKDAY($A10)&lt;7),MOD(ROW(),2)=0)</formula>
    </cfRule>
    <cfRule type="expression" dxfId="491" priority="400" stopIfTrue="1">
      <formula>AND(OR(WEEKDAY($A10)=1,WEEKDAY($A10)=7),MOD(ROW(),2)=0)</formula>
    </cfRule>
    <cfRule type="expression" dxfId="490" priority="413" stopIfTrue="1">
      <formula>AND(OR(WEEKDAY($A10)=1,WEEKDAY($A10)=7),MOD(ROW(),2)&lt;&gt;0)</formula>
    </cfRule>
    <cfRule type="expression" dxfId="489" priority="412" stopIfTrue="1">
      <formula>AND(OR(WEEKDAY($A10)=1,WEEKDAY($A10)=7),MOD(ROW(),2)=0)</formula>
    </cfRule>
    <cfRule type="expression" dxfId="488" priority="411" stopIfTrue="1">
      <formula>AND(AND(WEEKDAY($A10)&gt;1,WEEKDAY($A10)&lt;7),MOD(ROW(),2)=0)</formula>
    </cfRule>
    <cfRule type="expression" dxfId="487" priority="386" stopIfTrue="1">
      <formula>AND(OR(WEEKDAY($A10)=1,WEEKDAY($A10)=7),MOD(ROW(),2)&lt;&gt;0)</formula>
    </cfRule>
    <cfRule type="expression" dxfId="486" priority="387" stopIfTrue="1">
      <formula>AND(AND(WEEKDAY($A10)&gt;1,WEEKDAY($A10)&lt;7),MOD(ROW(),2)=0)</formula>
    </cfRule>
    <cfRule type="expression" dxfId="485" priority="388" stopIfTrue="1">
      <formula>AND(OR(WEEKDAY($A10)=1,WEEKDAY($A10)=7),MOD(ROW(),2)=0)</formula>
    </cfRule>
    <cfRule type="expression" dxfId="484" priority="410" stopIfTrue="1">
      <formula>AND(OR(WEEKDAY($A10)=1,WEEKDAY($A10)=7),MOD(ROW(),2)&lt;&gt;0)</formula>
    </cfRule>
    <cfRule type="expression" dxfId="483" priority="409" stopIfTrue="1">
      <formula>AND(OR(WEEKDAY($A10)=1,WEEKDAY($A10)=7),MOD(ROW(),2)=0)</formula>
    </cfRule>
    <cfRule type="expression" dxfId="482" priority="408" stopIfTrue="1">
      <formula>AND(AND(WEEKDAY($A10)&gt;1,WEEKDAY($A10)&lt;7),MOD(ROW(),2)=0)</formula>
    </cfRule>
    <cfRule type="expression" dxfId="481" priority="407" stopIfTrue="1">
      <formula>AND(OR(WEEKDAY($A10)=1,WEEKDAY($A10)=7),MOD(ROW(),2)&lt;&gt;0)</formula>
    </cfRule>
    <cfRule type="expression" dxfId="480" priority="406" stopIfTrue="1">
      <formula>AND(OR(WEEKDAY($A10)=1,WEEKDAY($A10)=7),MOD(ROW(),2)=0)</formula>
    </cfRule>
    <cfRule type="expression" dxfId="479" priority="405" stopIfTrue="1">
      <formula>AND(AND(WEEKDAY($A10)&gt;1,WEEKDAY($A10)&lt;7),MOD(ROW(),2)=0)</formula>
    </cfRule>
    <cfRule type="expression" dxfId="478" priority="404" stopIfTrue="1">
      <formula>AND(OR(WEEKDAY($A10)=1,WEEKDAY($A10)=7),MOD(ROW(),2)&lt;&gt;0)</formula>
    </cfRule>
    <cfRule type="expression" dxfId="477" priority="403" stopIfTrue="1">
      <formula>AND(OR(WEEKDAY($A10)=1,WEEKDAY($A10)=7),MOD(ROW(),2)=0)</formula>
    </cfRule>
    <cfRule type="expression" dxfId="476" priority="402" stopIfTrue="1">
      <formula>AND(AND(WEEKDAY($A10)&gt;1,WEEKDAY($A10)&lt;7),MOD(ROW(),2)=0)</formula>
    </cfRule>
    <cfRule type="expression" dxfId="475" priority="401" stopIfTrue="1">
      <formula>AND(OR(WEEKDAY($A10)=1,WEEKDAY($A10)=7),MOD(ROW(),2)&lt;&gt;0)</formula>
    </cfRule>
    <cfRule type="expression" dxfId="474" priority="417" stopIfTrue="1">
      <formula>AND(AND(WEEKDAY($A10)&gt;1,WEEKDAY($A10)&lt;7),MOD(ROW(),2)=0)</formula>
    </cfRule>
    <cfRule type="expression" dxfId="473" priority="416" stopIfTrue="1">
      <formula>AND(OR(WEEKDAY($A10)=1,WEEKDAY($A10)=7),MOD(ROW(),2)&lt;&gt;0)</formula>
    </cfRule>
    <cfRule type="expression" dxfId="472" priority="415" stopIfTrue="1">
      <formula>AND(OR(WEEKDAY($A10)=1,WEEKDAY($A10)=7),MOD(ROW(),2)=0)</formula>
    </cfRule>
    <cfRule type="expression" dxfId="471" priority="414" stopIfTrue="1">
      <formula>AND(AND(WEEKDAY($A10)&gt;1,WEEKDAY($A10)&lt;7),MOD(ROW(),2)=0)</formula>
    </cfRule>
    <cfRule type="expression" dxfId="470" priority="367" stopIfTrue="1">
      <formula>AND(OR(WEEKDAY($A10)=1,WEEKDAY($A10)=7),MOD(ROW(),2)=0)</formula>
    </cfRule>
    <cfRule type="expression" dxfId="469" priority="368" stopIfTrue="1">
      <formula>AND(OR(WEEKDAY($A10)=1,WEEKDAY($A10)=7),MOD(ROW(),2)&lt;&gt;0)</formula>
    </cfRule>
    <cfRule type="expression" dxfId="468" priority="369" stopIfTrue="1">
      <formula>AND(AND(WEEKDAY($A10)&gt;1,WEEKDAY($A10)&lt;7),MOD(ROW(),2)=0)</formula>
    </cfRule>
    <cfRule type="expression" dxfId="467" priority="370" stopIfTrue="1">
      <formula>AND(OR(WEEKDAY($A10)=1,WEEKDAY($A10)=7),MOD(ROW(),2)=0)</formula>
    </cfRule>
    <cfRule type="expression" dxfId="466" priority="371" stopIfTrue="1">
      <formula>AND(OR(WEEKDAY($A10)=1,WEEKDAY($A10)=7),MOD(ROW(),2)&lt;&gt;0)</formula>
    </cfRule>
    <cfRule type="expression" dxfId="465" priority="372" stopIfTrue="1">
      <formula>AND(AND(WEEKDAY($A10)&gt;1,WEEKDAY($A10)&lt;7),MOD(ROW(),2)=0)</formula>
    </cfRule>
    <cfRule type="expression" dxfId="464" priority="373" stopIfTrue="1">
      <formula>AND(OR(WEEKDAY($A10)=1,WEEKDAY($A10)=7),MOD(ROW(),2)=0)</formula>
    </cfRule>
    <cfRule type="expression" dxfId="463" priority="844" stopIfTrue="1">
      <formula>AND(OR(WEEKDAY($A10)=1,WEEKDAY($A10)=7),MOD(ROW(),2)=0)</formula>
    </cfRule>
    <cfRule type="expression" dxfId="462" priority="845" stopIfTrue="1">
      <formula>AND(OR(WEEKDAY($A10)=1,WEEKDAY($A10)=7),MOD(ROW(),2)&lt;&gt;0)</formula>
    </cfRule>
    <cfRule type="expression" dxfId="461" priority="846" stopIfTrue="1">
      <formula>AND(AND(WEEKDAY($A10)&gt;1,WEEKDAY($A10)&lt;7),MOD(ROW(),2)=0)</formula>
    </cfRule>
    <cfRule type="expression" dxfId="460" priority="847" stopIfTrue="1">
      <formula>AND(OR(WEEKDAY($A10)=1,WEEKDAY($A10)=7),MOD(ROW(),2)=0)</formula>
    </cfRule>
    <cfRule type="expression" dxfId="459" priority="848" stopIfTrue="1">
      <formula>AND(OR(WEEKDAY($A10)=1,WEEKDAY($A10)=7),MOD(ROW(),2)&lt;&gt;0)</formula>
    </cfRule>
    <cfRule type="expression" dxfId="458" priority="849" stopIfTrue="1">
      <formula>AND(AND(WEEKDAY($A10)&gt;1,WEEKDAY($A10)&lt;7),MOD(ROW(),2)=0)</formula>
    </cfRule>
    <cfRule type="expression" dxfId="457" priority="374" stopIfTrue="1">
      <formula>AND(OR(WEEKDAY($A10)=1,WEEKDAY($A10)=7),MOD(ROW(),2)&lt;&gt;0)</formula>
    </cfRule>
    <cfRule type="expression" dxfId="456" priority="375" stopIfTrue="1">
      <formula>AND(AND(WEEKDAY($A10)&gt;1,WEEKDAY($A10)&lt;7),MOD(ROW(),2)=0)</formula>
    </cfRule>
    <cfRule type="expression" dxfId="455" priority="376" stopIfTrue="1">
      <formula>AND(OR(WEEKDAY($A10)=1,WEEKDAY($A10)=7),MOD(ROW(),2)=0)</formula>
    </cfRule>
    <cfRule type="expression" dxfId="454" priority="377" stopIfTrue="1">
      <formula>AND(OR(WEEKDAY($A10)=1,WEEKDAY($A10)=7),MOD(ROW(),2)&lt;&gt;0)</formula>
    </cfRule>
    <cfRule type="expression" dxfId="453" priority="378" stopIfTrue="1">
      <formula>AND(AND(WEEKDAY($A10)&gt;1,WEEKDAY($A10)&lt;7),MOD(ROW(),2)=0)</formula>
    </cfRule>
    <cfRule type="expression" dxfId="452" priority="379" stopIfTrue="1">
      <formula>AND(OR(WEEKDAY($A10)=1,WEEKDAY($A10)=7),MOD(ROW(),2)=0)</formula>
    </cfRule>
    <cfRule type="expression" dxfId="451" priority="380" stopIfTrue="1">
      <formula>AND(OR(WEEKDAY($A10)=1,WEEKDAY($A10)=7),MOD(ROW(),2)&lt;&gt;0)</formula>
    </cfRule>
    <cfRule type="expression" dxfId="450" priority="381" stopIfTrue="1">
      <formula>AND(AND(WEEKDAY($A10)&gt;1,WEEKDAY($A10)&lt;7),MOD(ROW(),2)=0)</formula>
    </cfRule>
    <cfRule type="expression" dxfId="449" priority="382" stopIfTrue="1">
      <formula>AND(OR(WEEKDAY($A10)=1,WEEKDAY($A10)=7),MOD(ROW(),2)=0)</formula>
    </cfRule>
    <cfRule type="expression" dxfId="448" priority="383" stopIfTrue="1">
      <formula>AND(OR(WEEKDAY($A10)=1,WEEKDAY($A10)=7),MOD(ROW(),2)&lt;&gt;0)</formula>
    </cfRule>
    <cfRule type="expression" dxfId="447" priority="384" stopIfTrue="1">
      <formula>AND(AND(WEEKDAY($A10)&gt;1,WEEKDAY($A10)&lt;7),MOD(ROW(),2)=0)</formula>
    </cfRule>
    <cfRule type="expression" dxfId="446" priority="385" stopIfTrue="1">
      <formula>AND(OR(WEEKDAY($A10)=1,WEEKDAY($A10)=7),MOD(ROW(),2)=0)</formula>
    </cfRule>
    <cfRule type="expression" dxfId="445" priority="862" stopIfTrue="1">
      <formula>AND(OR(WEEKDAY($A10)=1,WEEKDAY($A10)=7),MOD(ROW(),2)=0)</formula>
    </cfRule>
    <cfRule type="expression" dxfId="444" priority="863" stopIfTrue="1">
      <formula>AND(OR(WEEKDAY($A10)=1,WEEKDAY($A10)=7),MOD(ROW(),2)&lt;&gt;0)</formula>
    </cfRule>
    <cfRule type="expression" dxfId="443" priority="864" stopIfTrue="1">
      <formula>AND(AND(WEEKDAY($A10)&gt;1,WEEKDAY($A10)&lt;7),MOD(ROW(),2)=0)</formula>
    </cfRule>
    <cfRule type="expression" dxfId="442" priority="868" stopIfTrue="1">
      <formula>AND(OR(WEEKDAY($A10)=1,WEEKDAY($A10)=7),MOD(ROW(),2)=0)</formula>
    </cfRule>
    <cfRule type="expression" dxfId="441" priority="869" stopIfTrue="1">
      <formula>AND(OR(WEEKDAY($A10)=1,WEEKDAY($A10)=7),MOD(ROW(),2)&lt;&gt;0)</formula>
    </cfRule>
    <cfRule type="expression" dxfId="440" priority="870" stopIfTrue="1">
      <formula>AND(AND(WEEKDAY($A10)&gt;1,WEEKDAY($A10)&lt;7),MOD(ROW(),2)=0)</formula>
    </cfRule>
  </conditionalFormatting>
  <conditionalFormatting sqref="F10:F39">
    <cfRule type="expression" dxfId="439" priority="310" stopIfTrue="1">
      <formula>AND(OR(WEEKDAY($A10)=1,WEEKDAY($A10)=7),MOD(ROW(),2)=0)</formula>
    </cfRule>
    <cfRule type="expression" dxfId="438" priority="311" stopIfTrue="1">
      <formula>AND(OR(WEEKDAY($A10)=1,WEEKDAY($A10)=7),MOD(ROW(),2)&lt;&gt;0)</formula>
    </cfRule>
    <cfRule type="expression" dxfId="437" priority="312" stopIfTrue="1">
      <formula>AND(AND(WEEKDAY($A10)&gt;1,WEEKDAY($A10)&lt;7),MOD(ROW(),2)=0)</formula>
    </cfRule>
  </conditionalFormatting>
  <conditionalFormatting sqref="F10:F39">
    <cfRule type="expression" dxfId="436" priority="302" stopIfTrue="1">
      <formula>AND(OR(WEEKDAY($A10)=1,WEEKDAY($A10)=7),MOD(ROW(),2)&lt;&gt;0)</formula>
    </cfRule>
    <cfRule type="expression" dxfId="435" priority="303" stopIfTrue="1">
      <formula>AND(AND(WEEKDAY($A10)&gt;1,WEEKDAY($A10)&lt;7),MOD(ROW(),2)=0)</formula>
    </cfRule>
    <cfRule type="expression" dxfId="434" priority="304" stopIfTrue="1">
      <formula>AND(OR(WEEKDAY($A10)=1,WEEKDAY($A10)=7),MOD(ROW(),2)=0)</formula>
    </cfRule>
    <cfRule type="expression" dxfId="433" priority="305" stopIfTrue="1">
      <formula>AND(OR(WEEKDAY($A10)=1,WEEKDAY($A10)=7),MOD(ROW(),2)&lt;&gt;0)</formula>
    </cfRule>
    <cfRule type="expression" dxfId="432" priority="306" stopIfTrue="1">
      <formula>AND(AND(WEEKDAY($A10)&gt;1,WEEKDAY($A10)&lt;7),MOD(ROW(),2)=0)</formula>
    </cfRule>
    <cfRule type="expression" dxfId="431" priority="307" stopIfTrue="1">
      <formula>AND(OR(WEEKDAY($A10)=1,WEEKDAY($A10)=7),MOD(ROW(),2)=0)</formula>
    </cfRule>
    <cfRule type="expression" dxfId="430" priority="308" stopIfTrue="1">
      <formula>AND(OR(WEEKDAY($A10)=1,WEEKDAY($A10)=7),MOD(ROW(),2)&lt;&gt;0)</formula>
    </cfRule>
    <cfRule type="expression" dxfId="429" priority="309" stopIfTrue="1">
      <formula>AND(AND(WEEKDAY($A10)&gt;1,WEEKDAY($A10)&lt;7),MOD(ROW(),2)=0)</formula>
    </cfRule>
    <cfRule type="expression" dxfId="428" priority="154" stopIfTrue="1">
      <formula>AND(OR(WEEKDAY($A10)=1,WEEKDAY($A10)=7),MOD(ROW(),2)=0)</formula>
    </cfRule>
    <cfRule type="expression" dxfId="427" priority="142" stopIfTrue="1">
      <formula>AND(OR(WEEKDAY($A10)=1,WEEKDAY($A10)=7),MOD(ROW(),2)=0)</formula>
    </cfRule>
    <cfRule type="expression" dxfId="426" priority="143" stopIfTrue="1">
      <formula>AND(OR(WEEKDAY($A10)=1,WEEKDAY($A10)=7),MOD(ROW(),2)&lt;&gt;0)</formula>
    </cfRule>
    <cfRule type="expression" dxfId="425" priority="144" stopIfTrue="1">
      <formula>AND(AND(WEEKDAY($A10)&gt;1,WEEKDAY($A10)&lt;7),MOD(ROW(),2)=0)</formula>
    </cfRule>
    <cfRule type="expression" dxfId="424" priority="145" stopIfTrue="1">
      <formula>AND(OR(WEEKDAY($A10)=1,WEEKDAY($A10)=7),MOD(ROW(),2)=0)</formula>
    </cfRule>
    <cfRule type="expression" dxfId="423" priority="146" stopIfTrue="1">
      <formula>AND(OR(WEEKDAY($A10)=1,WEEKDAY($A10)=7),MOD(ROW(),2)&lt;&gt;0)</formula>
    </cfRule>
    <cfRule type="expression" dxfId="422" priority="147" stopIfTrue="1">
      <formula>AND(AND(WEEKDAY($A10)&gt;1,WEEKDAY($A10)&lt;7),MOD(ROW(),2)=0)</formula>
    </cfRule>
    <cfRule type="expression" dxfId="421" priority="148" stopIfTrue="1">
      <formula>AND(OR(WEEKDAY($A10)=1,WEEKDAY($A10)=7),MOD(ROW(),2)=0)</formula>
    </cfRule>
    <cfRule type="expression" dxfId="420" priority="149" stopIfTrue="1">
      <formula>AND(OR(WEEKDAY($A10)=1,WEEKDAY($A10)=7),MOD(ROW(),2)&lt;&gt;0)</formula>
    </cfRule>
    <cfRule type="expression" dxfId="419" priority="150" stopIfTrue="1">
      <formula>AND(AND(WEEKDAY($A10)&gt;1,WEEKDAY($A10)&lt;7),MOD(ROW(),2)=0)</formula>
    </cfRule>
    <cfRule type="expression" dxfId="418" priority="151" stopIfTrue="1">
      <formula>AND(OR(WEEKDAY($A10)=1,WEEKDAY($A10)=7),MOD(ROW(),2)=0)</formula>
    </cfRule>
    <cfRule type="expression" dxfId="417" priority="152" stopIfTrue="1">
      <formula>AND(OR(WEEKDAY($A10)=1,WEEKDAY($A10)=7),MOD(ROW(),2)&lt;&gt;0)</formula>
    </cfRule>
    <cfRule type="expression" dxfId="416" priority="153" stopIfTrue="1">
      <formula>AND(AND(WEEKDAY($A10)&gt;1,WEEKDAY($A10)&lt;7),MOD(ROW(),2)=0)</formula>
    </cfRule>
    <cfRule type="expression" dxfId="415" priority="155" stopIfTrue="1">
      <formula>AND(OR(WEEKDAY($A10)=1,WEEKDAY($A10)=7),MOD(ROW(),2)&lt;&gt;0)</formula>
    </cfRule>
    <cfRule type="expression" dxfId="414" priority="156" stopIfTrue="1">
      <formula>AND(AND(WEEKDAY($A10)&gt;1,WEEKDAY($A10)&lt;7),MOD(ROW(),2)=0)</formula>
    </cfRule>
    <cfRule type="expression" dxfId="413" priority="157" stopIfTrue="1">
      <formula>AND(OR(WEEKDAY($A10)=1,WEEKDAY($A10)=7),MOD(ROW(),2)=0)</formula>
    </cfRule>
    <cfRule type="expression" dxfId="412" priority="158" stopIfTrue="1">
      <formula>AND(OR(WEEKDAY($A10)=1,WEEKDAY($A10)=7),MOD(ROW(),2)&lt;&gt;0)</formula>
    </cfRule>
    <cfRule type="expression" dxfId="411" priority="159" stopIfTrue="1">
      <formula>AND(AND(WEEKDAY($A10)&gt;1,WEEKDAY($A10)&lt;7),MOD(ROW(),2)=0)</formula>
    </cfRule>
    <cfRule type="expression" dxfId="410" priority="160" stopIfTrue="1">
      <formula>AND(OR(WEEKDAY($A10)=1,WEEKDAY($A10)=7),MOD(ROW(),2)=0)</formula>
    </cfRule>
    <cfRule type="expression" dxfId="409" priority="161" stopIfTrue="1">
      <formula>AND(OR(WEEKDAY($A10)=1,WEEKDAY($A10)=7),MOD(ROW(),2)&lt;&gt;0)</formula>
    </cfRule>
    <cfRule type="expression" dxfId="408" priority="162" stopIfTrue="1">
      <formula>AND(AND(WEEKDAY($A10)&gt;1,WEEKDAY($A10)&lt;7),MOD(ROW(),2)=0)</formula>
    </cfRule>
    <cfRule type="expression" dxfId="407" priority="163" stopIfTrue="1">
      <formula>AND(OR(WEEKDAY($A10)=1,WEEKDAY($A10)=7),MOD(ROW(),2)=0)</formula>
    </cfRule>
    <cfRule type="expression" dxfId="406" priority="164" stopIfTrue="1">
      <formula>AND(OR(WEEKDAY($A10)=1,WEEKDAY($A10)=7),MOD(ROW(),2)&lt;&gt;0)</formula>
    </cfRule>
    <cfRule type="expression" dxfId="405" priority="165" stopIfTrue="1">
      <formula>AND(AND(WEEKDAY($A10)&gt;1,WEEKDAY($A10)&lt;7),MOD(ROW(),2)=0)</formula>
    </cfRule>
    <cfRule type="expression" dxfId="404" priority="166" stopIfTrue="1">
      <formula>AND(OR(WEEKDAY($A10)=1,WEEKDAY($A10)=7),MOD(ROW(),2)=0)</formula>
    </cfRule>
    <cfRule type="expression" dxfId="403" priority="167" stopIfTrue="1">
      <formula>AND(OR(WEEKDAY($A10)=1,WEEKDAY($A10)=7),MOD(ROW(),2)&lt;&gt;0)</formula>
    </cfRule>
    <cfRule type="expression" dxfId="402" priority="168" stopIfTrue="1">
      <formula>AND(AND(WEEKDAY($A10)&gt;1,WEEKDAY($A10)&lt;7),MOD(ROW(),2)=0)</formula>
    </cfRule>
    <cfRule type="expression" dxfId="401" priority="169" stopIfTrue="1">
      <formula>AND(OR(WEEKDAY($A10)=1,WEEKDAY($A10)=7),MOD(ROW(),2)=0)</formula>
    </cfRule>
    <cfRule type="expression" dxfId="400" priority="170" stopIfTrue="1">
      <formula>AND(OR(WEEKDAY($A10)=1,WEEKDAY($A10)=7),MOD(ROW(),2)&lt;&gt;0)</formula>
    </cfRule>
    <cfRule type="expression" dxfId="399" priority="171" stopIfTrue="1">
      <formula>AND(AND(WEEKDAY($A10)&gt;1,WEEKDAY($A10)&lt;7),MOD(ROW(),2)=0)</formula>
    </cfRule>
    <cfRule type="expression" dxfId="398" priority="172" stopIfTrue="1">
      <formula>AND(OR(WEEKDAY($A10)=1,WEEKDAY($A10)=7),MOD(ROW(),2)=0)</formula>
    </cfRule>
    <cfRule type="expression" dxfId="397" priority="173" stopIfTrue="1">
      <formula>AND(OR(WEEKDAY($A10)=1,WEEKDAY($A10)=7),MOD(ROW(),2)&lt;&gt;0)</formula>
    </cfRule>
    <cfRule type="expression" dxfId="396" priority="174" stopIfTrue="1">
      <formula>AND(AND(WEEKDAY($A10)&gt;1,WEEKDAY($A10)&lt;7),MOD(ROW(),2)=0)</formula>
    </cfRule>
    <cfRule type="expression" dxfId="395" priority="175" stopIfTrue="1">
      <formula>AND(OR(WEEKDAY($A10)=1,WEEKDAY($A10)=7),MOD(ROW(),2)=0)</formula>
    </cfRule>
    <cfRule type="expression" dxfId="394" priority="176" stopIfTrue="1">
      <formula>AND(OR(WEEKDAY($A10)=1,WEEKDAY($A10)=7),MOD(ROW(),2)&lt;&gt;0)</formula>
    </cfRule>
    <cfRule type="expression" dxfId="393" priority="177" stopIfTrue="1">
      <formula>AND(AND(WEEKDAY($A10)&gt;1,WEEKDAY($A10)&lt;7),MOD(ROW(),2)=0)</formula>
    </cfRule>
    <cfRule type="expression" dxfId="392" priority="178" stopIfTrue="1">
      <formula>AND(OR(WEEKDAY($A10)=1,WEEKDAY($A10)=7),MOD(ROW(),2)=0)</formula>
    </cfRule>
    <cfRule type="expression" dxfId="391" priority="179" stopIfTrue="1">
      <formula>AND(OR(WEEKDAY($A10)=1,WEEKDAY($A10)=7),MOD(ROW(),2)&lt;&gt;0)</formula>
    </cfRule>
    <cfRule type="expression" dxfId="390" priority="180" stopIfTrue="1">
      <formula>AND(AND(WEEKDAY($A10)&gt;1,WEEKDAY($A10)&lt;7),MOD(ROW(),2)=0)</formula>
    </cfRule>
    <cfRule type="expression" dxfId="389" priority="181" stopIfTrue="1">
      <formula>AND(OR(WEEKDAY($A10)=1,WEEKDAY($A10)=7),MOD(ROW(),2)=0)</formula>
    </cfRule>
    <cfRule type="expression" dxfId="388" priority="182" stopIfTrue="1">
      <formula>AND(OR(WEEKDAY($A10)=1,WEEKDAY($A10)=7),MOD(ROW(),2)&lt;&gt;0)</formula>
    </cfRule>
    <cfRule type="expression" dxfId="387" priority="183" stopIfTrue="1">
      <formula>AND(AND(WEEKDAY($A10)&gt;1,WEEKDAY($A10)&lt;7),MOD(ROW(),2)=0)</formula>
    </cfRule>
    <cfRule type="expression" dxfId="386" priority="184" stopIfTrue="1">
      <formula>AND(OR(WEEKDAY($A10)=1,WEEKDAY($A10)=7),MOD(ROW(),2)=0)</formula>
    </cfRule>
    <cfRule type="expression" dxfId="385" priority="185" stopIfTrue="1">
      <formula>AND(OR(WEEKDAY($A10)=1,WEEKDAY($A10)=7),MOD(ROW(),2)&lt;&gt;0)</formula>
    </cfRule>
    <cfRule type="expression" dxfId="384" priority="186" stopIfTrue="1">
      <formula>AND(AND(WEEKDAY($A10)&gt;1,WEEKDAY($A10)&lt;7),MOD(ROW(),2)=0)</formula>
    </cfRule>
    <cfRule type="expression" dxfId="383" priority="187" stopIfTrue="1">
      <formula>AND(OR(WEEKDAY($A10)=1,WEEKDAY($A10)=7),MOD(ROW(),2)=0)</formula>
    </cfRule>
    <cfRule type="expression" dxfId="382" priority="188" stopIfTrue="1">
      <formula>AND(OR(WEEKDAY($A10)=1,WEEKDAY($A10)=7),MOD(ROW(),2)&lt;&gt;0)</formula>
    </cfRule>
    <cfRule type="expression" dxfId="381" priority="189" stopIfTrue="1">
      <formula>AND(AND(WEEKDAY($A10)&gt;1,WEEKDAY($A10)&lt;7),MOD(ROW(),2)=0)</formula>
    </cfRule>
    <cfRule type="expression" dxfId="380" priority="190" stopIfTrue="1">
      <formula>AND(OR(WEEKDAY($A10)=1,WEEKDAY($A10)=7),MOD(ROW(),2)=0)</formula>
    </cfRule>
    <cfRule type="expression" dxfId="379" priority="191" stopIfTrue="1">
      <formula>AND(OR(WEEKDAY($A10)=1,WEEKDAY($A10)=7),MOD(ROW(),2)&lt;&gt;0)</formula>
    </cfRule>
    <cfRule type="expression" dxfId="378" priority="192" stopIfTrue="1">
      <formula>AND(AND(WEEKDAY($A10)&gt;1,WEEKDAY($A10)&lt;7),MOD(ROW(),2)=0)</formula>
    </cfRule>
    <cfRule type="expression" dxfId="377" priority="193" stopIfTrue="1">
      <formula>AND(OR(WEEKDAY($A10)=1,WEEKDAY($A10)=7),MOD(ROW(),2)=0)</formula>
    </cfRule>
    <cfRule type="expression" dxfId="376" priority="194" stopIfTrue="1">
      <formula>AND(OR(WEEKDAY($A10)=1,WEEKDAY($A10)=7),MOD(ROW(),2)&lt;&gt;0)</formula>
    </cfRule>
    <cfRule type="expression" dxfId="375" priority="195" stopIfTrue="1">
      <formula>AND(AND(WEEKDAY($A10)&gt;1,WEEKDAY($A10)&lt;7),MOD(ROW(),2)=0)</formula>
    </cfRule>
    <cfRule type="expression" dxfId="374" priority="301" stopIfTrue="1">
      <formula>AND(OR(WEEKDAY($A10)=1,WEEKDAY($A10)=7),MOD(ROW(),2)=0)</formula>
    </cfRule>
  </conditionalFormatting>
  <conditionalFormatting sqref="F40:G40">
    <cfRule type="expression" dxfId="373" priority="867" stopIfTrue="1">
      <formula>AND(AND(WEEKDAY($A40)&gt;1,WEEKDAY($A40)&lt;7),MOD(ROW(),2)=0)</formula>
    </cfRule>
    <cfRule type="expression" dxfId="372" priority="586" stopIfTrue="1">
      <formula>AND(OR(WEEKDAY($A40)=1,WEEKDAY($A40)=7),MOD(ROW(),2)=0)</formula>
    </cfRule>
    <cfRule type="expression" dxfId="371" priority="587" stopIfTrue="1">
      <formula>AND(OR(WEEKDAY($A40)=1,WEEKDAY($A40)=7),MOD(ROW(),2)&lt;&gt;0)</formula>
    </cfRule>
    <cfRule type="expression" dxfId="370" priority="588" stopIfTrue="1">
      <formula>AND(AND(WEEKDAY($A40)&gt;1,WEEKDAY($A40)&lt;7),MOD(ROW(),2)=0)</formula>
    </cfRule>
    <cfRule type="expression" dxfId="369" priority="589" stopIfTrue="1">
      <formula>AND(OR(WEEKDAY($A40)=1,WEEKDAY($A40)=7),MOD(ROW(),2)=0)</formula>
    </cfRule>
    <cfRule type="expression" dxfId="368" priority="590" stopIfTrue="1">
      <formula>AND(OR(WEEKDAY($A40)=1,WEEKDAY($A40)=7),MOD(ROW(),2)&lt;&gt;0)</formula>
    </cfRule>
    <cfRule type="expression" dxfId="367" priority="591" stopIfTrue="1">
      <formula>AND(AND(WEEKDAY($A40)&gt;1,WEEKDAY($A40)&lt;7),MOD(ROW(),2)=0)</formula>
    </cfRule>
    <cfRule type="expression" dxfId="366" priority="592" stopIfTrue="1">
      <formula>AND(OR(WEEKDAY($A40)=1,WEEKDAY($A40)=7),MOD(ROW(),2)=0)</formula>
    </cfRule>
    <cfRule type="expression" dxfId="365" priority="593" stopIfTrue="1">
      <formula>AND(OR(WEEKDAY($A40)=1,WEEKDAY($A40)=7),MOD(ROW(),2)&lt;&gt;0)</formula>
    </cfRule>
    <cfRule type="expression" dxfId="364" priority="594" stopIfTrue="1">
      <formula>AND(AND(WEEKDAY($A40)&gt;1,WEEKDAY($A40)&lt;7),MOD(ROW(),2)=0)</formula>
    </cfRule>
    <cfRule type="expression" dxfId="363" priority="865" stopIfTrue="1">
      <formula>AND(OR(WEEKDAY($A40)=1,WEEKDAY($A40)=7),MOD(ROW(),2)=0)</formula>
    </cfRule>
    <cfRule type="expression" dxfId="362" priority="866" stopIfTrue="1">
      <formula>AND(OR(WEEKDAY($A40)=1,WEEKDAY($A40)=7),MOD(ROW(),2)&lt;&gt;0)</formula>
    </cfRule>
  </conditionalFormatting>
  <conditionalFormatting sqref="F40:H40">
    <cfRule type="expression" dxfId="361" priority="583" stopIfTrue="1">
      <formula>AND(OR(WEEKDAY($A40)=1,WEEKDAY($A40)=7),MOD(ROW(),2)=0)</formula>
    </cfRule>
    <cfRule type="expression" dxfId="360" priority="584" stopIfTrue="1">
      <formula>AND(OR(WEEKDAY($A40)=1,WEEKDAY($A40)=7),MOD(ROW(),2)&lt;&gt;0)</formula>
    </cfRule>
    <cfRule type="expression" dxfId="359" priority="585" stopIfTrue="1">
      <formula>AND(AND(WEEKDAY($A40)&gt;1,WEEKDAY($A40)&lt;7),MOD(ROW(),2)=0)</formula>
    </cfRule>
  </conditionalFormatting>
  <conditionalFormatting sqref="G10">
    <cfRule type="expression" dxfId="358" priority="449" stopIfTrue="1">
      <formula>AND(OR(WEEKDAY($A10)=1,WEEKDAY($A10)=7),MOD(ROW(),2)&lt;&gt;0)</formula>
    </cfRule>
    <cfRule type="expression" dxfId="357" priority="448" stopIfTrue="1">
      <formula>AND(OR(WEEKDAY($A10)=1,WEEKDAY($A10)=7),MOD(ROW(),2)=0)</formula>
    </cfRule>
    <cfRule type="expression" dxfId="356" priority="447" stopIfTrue="1">
      <formula>AND(AND(WEEKDAY($A10)&gt;1,WEEKDAY($A10)&lt;7),MOD(ROW(),2)=0)</formula>
    </cfRule>
    <cfRule type="expression" dxfId="355" priority="446" stopIfTrue="1">
      <formula>AND(OR(WEEKDAY($A10)=1,WEEKDAY($A10)=7),MOD(ROW(),2)&lt;&gt;0)</formula>
    </cfRule>
    <cfRule type="expression" dxfId="354" priority="445" stopIfTrue="1">
      <formula>AND(OR(WEEKDAY($A10)=1,WEEKDAY($A10)=7),MOD(ROW(),2)=0)</formula>
    </cfRule>
    <cfRule type="expression" dxfId="353" priority="444" stopIfTrue="1">
      <formula>AND(AND(WEEKDAY($A10)&gt;1,WEEKDAY($A10)&lt;7),MOD(ROW(),2)=0)</formula>
    </cfRule>
    <cfRule type="expression" dxfId="352" priority="443" stopIfTrue="1">
      <formula>AND(OR(WEEKDAY($A10)=1,WEEKDAY($A10)=7),MOD(ROW(),2)&lt;&gt;0)</formula>
    </cfRule>
    <cfRule type="expression" dxfId="351" priority="442" stopIfTrue="1">
      <formula>AND(OR(WEEKDAY($A10)=1,WEEKDAY($A10)=7),MOD(ROW(),2)=0)</formula>
    </cfRule>
    <cfRule type="expression" dxfId="350" priority="441" stopIfTrue="1">
      <formula>AND(AND(WEEKDAY($A10)&gt;1,WEEKDAY($A10)&lt;7),MOD(ROW(),2)=0)</formula>
    </cfRule>
    <cfRule type="expression" dxfId="349" priority="494" stopIfTrue="1">
      <formula>AND(OR(WEEKDAY($A10)=1,WEEKDAY($A10)=7),MOD(ROW(),2)&lt;&gt;0)</formula>
    </cfRule>
    <cfRule type="expression" dxfId="348" priority="439" stopIfTrue="1">
      <formula>AND(OR(WEEKDAY($A10)=1,WEEKDAY($A10)=7),MOD(ROW(),2)=0)</formula>
    </cfRule>
    <cfRule type="expression" dxfId="347" priority="438" stopIfTrue="1">
      <formula>AND(AND(WEEKDAY($A10)&gt;1,WEEKDAY($A10)&lt;7),MOD(ROW(),2)=0)</formula>
    </cfRule>
    <cfRule type="expression" dxfId="346" priority="437" stopIfTrue="1">
      <formula>AND(OR(WEEKDAY($A10)=1,WEEKDAY($A10)=7),MOD(ROW(),2)&lt;&gt;0)</formula>
    </cfRule>
    <cfRule type="expression" dxfId="345" priority="436" stopIfTrue="1">
      <formula>AND(OR(WEEKDAY($A10)=1,WEEKDAY($A10)=7),MOD(ROW(),2)=0)</formula>
    </cfRule>
    <cfRule type="expression" dxfId="344" priority="435" stopIfTrue="1">
      <formula>AND(AND(WEEKDAY($A10)&gt;1,WEEKDAY($A10)&lt;7),MOD(ROW(),2)=0)</formula>
    </cfRule>
    <cfRule type="expression" dxfId="343" priority="434" stopIfTrue="1">
      <formula>AND(OR(WEEKDAY($A10)=1,WEEKDAY($A10)=7),MOD(ROW(),2)&lt;&gt;0)</formula>
    </cfRule>
    <cfRule type="expression" dxfId="342" priority="433" stopIfTrue="1">
      <formula>AND(OR(WEEKDAY($A10)=1,WEEKDAY($A10)=7),MOD(ROW(),2)=0)</formula>
    </cfRule>
    <cfRule type="expression" dxfId="341" priority="432" stopIfTrue="1">
      <formula>AND(AND(WEEKDAY($A10)&gt;1,WEEKDAY($A10)&lt;7),MOD(ROW(),2)=0)</formula>
    </cfRule>
    <cfRule type="expression" dxfId="340" priority="431" stopIfTrue="1">
      <formula>AND(OR(WEEKDAY($A10)=1,WEEKDAY($A10)=7),MOD(ROW(),2)&lt;&gt;0)</formula>
    </cfRule>
    <cfRule type="expression" dxfId="339" priority="430" stopIfTrue="1">
      <formula>AND(OR(WEEKDAY($A10)=1,WEEKDAY($A10)=7),MOD(ROW(),2)=0)</formula>
    </cfRule>
    <cfRule type="expression" dxfId="338" priority="429" stopIfTrue="1">
      <formula>AND(AND(WEEKDAY($A10)&gt;1,WEEKDAY($A10)&lt;7),MOD(ROW(),2)=0)</formula>
    </cfRule>
    <cfRule type="expression" dxfId="337" priority="428" stopIfTrue="1">
      <formula>AND(OR(WEEKDAY($A10)=1,WEEKDAY($A10)=7),MOD(ROW(),2)&lt;&gt;0)</formula>
    </cfRule>
    <cfRule type="expression" dxfId="336" priority="427" stopIfTrue="1">
      <formula>AND(OR(WEEKDAY($A10)=1,WEEKDAY($A10)=7),MOD(ROW(),2)=0)</formula>
    </cfRule>
    <cfRule type="expression" dxfId="335" priority="426" stopIfTrue="1">
      <formula>AND(AND(WEEKDAY($A10)&gt;1,WEEKDAY($A10)&lt;7),MOD(ROW(),2)=0)</formula>
    </cfRule>
    <cfRule type="expression" dxfId="334" priority="425" stopIfTrue="1">
      <formula>AND(OR(WEEKDAY($A10)=1,WEEKDAY($A10)=7),MOD(ROW(),2)&lt;&gt;0)</formula>
    </cfRule>
    <cfRule type="expression" dxfId="333" priority="424" stopIfTrue="1">
      <formula>AND(OR(WEEKDAY($A10)=1,WEEKDAY($A10)=7),MOD(ROW(),2)=0)</formula>
    </cfRule>
    <cfRule type="expression" dxfId="332" priority="423" stopIfTrue="1">
      <formula>AND(AND(WEEKDAY($A10)&gt;1,WEEKDAY($A10)&lt;7),MOD(ROW(),2)=0)</formula>
    </cfRule>
    <cfRule type="expression" dxfId="331" priority="422" stopIfTrue="1">
      <formula>AND(OR(WEEKDAY($A10)=1,WEEKDAY($A10)=7),MOD(ROW(),2)&lt;&gt;0)</formula>
    </cfRule>
    <cfRule type="expression" dxfId="330" priority="421" stopIfTrue="1">
      <formula>AND(OR(WEEKDAY($A10)=1,WEEKDAY($A10)=7),MOD(ROW(),2)=0)</formula>
    </cfRule>
    <cfRule type="expression" dxfId="329" priority="484" stopIfTrue="1">
      <formula>AND(OR(WEEKDAY($A10)=1,WEEKDAY($A10)=7),MOD(ROW(),2)=0)</formula>
    </cfRule>
    <cfRule type="expression" dxfId="328" priority="497" stopIfTrue="1">
      <formula>AND(OR(WEEKDAY($A10)=1,WEEKDAY($A10)=7),MOD(ROW(),2)&lt;&gt;0)</formula>
    </cfRule>
    <cfRule type="expression" dxfId="327" priority="496" stopIfTrue="1">
      <formula>AND(OR(WEEKDAY($A10)=1,WEEKDAY($A10)=7),MOD(ROW(),2)=0)</formula>
    </cfRule>
    <cfRule type="expression" dxfId="326" priority="495" stopIfTrue="1">
      <formula>AND(AND(WEEKDAY($A10)&gt;1,WEEKDAY($A10)&lt;7),MOD(ROW(),2)=0)</formula>
    </cfRule>
    <cfRule type="expression" dxfId="325" priority="463" stopIfTrue="1">
      <formula>AND(OR(WEEKDAY($A10)=1,WEEKDAY($A10)=7),MOD(ROW(),2)=0)</formula>
    </cfRule>
    <cfRule type="expression" dxfId="324" priority="452" stopIfTrue="1">
      <formula>AND(OR(WEEKDAY($A10)=1,WEEKDAY($A10)=7),MOD(ROW(),2)&lt;&gt;0)</formula>
    </cfRule>
    <cfRule type="expression" dxfId="323" priority="492" stopIfTrue="1">
      <formula>AND(AND(WEEKDAY($A10)&gt;1,WEEKDAY($A10)&lt;7),MOD(ROW(),2)=0)</formula>
    </cfRule>
    <cfRule type="expression" dxfId="322" priority="491" stopIfTrue="1">
      <formula>AND(OR(WEEKDAY($A10)=1,WEEKDAY($A10)=7),MOD(ROW(),2)&lt;&gt;0)</formula>
    </cfRule>
    <cfRule type="expression" dxfId="321" priority="490" stopIfTrue="1">
      <formula>AND(OR(WEEKDAY($A10)=1,WEEKDAY($A10)=7),MOD(ROW(),2)=0)</formula>
    </cfRule>
    <cfRule type="expression" dxfId="320" priority="489" stopIfTrue="1">
      <formula>AND(AND(WEEKDAY($A10)&gt;1,WEEKDAY($A10)&lt;7),MOD(ROW(),2)=0)</formula>
    </cfRule>
    <cfRule type="expression" dxfId="319" priority="488" stopIfTrue="1">
      <formula>AND(OR(WEEKDAY($A10)=1,WEEKDAY($A10)=7),MOD(ROW(),2)&lt;&gt;0)</formula>
    </cfRule>
    <cfRule type="expression" dxfId="318" priority="487" stopIfTrue="1">
      <formula>AND(OR(WEEKDAY($A10)=1,WEEKDAY($A10)=7),MOD(ROW(),2)=0)</formula>
    </cfRule>
    <cfRule type="expression" dxfId="317" priority="486" stopIfTrue="1">
      <formula>AND(AND(WEEKDAY($A10)&gt;1,WEEKDAY($A10)&lt;7),MOD(ROW(),2)=0)</formula>
    </cfRule>
    <cfRule type="expression" dxfId="316" priority="485" stopIfTrue="1">
      <formula>AND(OR(WEEKDAY($A10)=1,WEEKDAY($A10)=7),MOD(ROW(),2)&lt;&gt;0)</formula>
    </cfRule>
    <cfRule type="expression" dxfId="315" priority="483" stopIfTrue="1">
      <formula>AND(AND(WEEKDAY($A10)&gt;1,WEEKDAY($A10)&lt;7),MOD(ROW(),2)=0)</formula>
    </cfRule>
    <cfRule type="expression" dxfId="314" priority="482" stopIfTrue="1">
      <formula>AND(OR(WEEKDAY($A10)=1,WEEKDAY($A10)=7),MOD(ROW(),2)&lt;&gt;0)</formula>
    </cfRule>
    <cfRule type="expression" dxfId="313" priority="481" stopIfTrue="1">
      <formula>AND(OR(WEEKDAY($A10)=1,WEEKDAY($A10)=7),MOD(ROW(),2)=0)</formula>
    </cfRule>
    <cfRule type="expression" dxfId="312" priority="480" stopIfTrue="1">
      <formula>AND(AND(WEEKDAY($A10)&gt;1,WEEKDAY($A10)&lt;7),MOD(ROW(),2)=0)</formula>
    </cfRule>
    <cfRule type="expression" dxfId="311" priority="479" stopIfTrue="1">
      <formula>AND(OR(WEEKDAY($A10)=1,WEEKDAY($A10)=7),MOD(ROW(),2)&lt;&gt;0)</formula>
    </cfRule>
    <cfRule type="expression" dxfId="310" priority="478" stopIfTrue="1">
      <formula>AND(OR(WEEKDAY($A10)=1,WEEKDAY($A10)=7),MOD(ROW(),2)=0)</formula>
    </cfRule>
    <cfRule type="expression" dxfId="309" priority="477" stopIfTrue="1">
      <formula>AND(AND(WEEKDAY($A10)&gt;1,WEEKDAY($A10)&lt;7),MOD(ROW(),2)=0)</formula>
    </cfRule>
    <cfRule type="expression" dxfId="308" priority="440" stopIfTrue="1">
      <formula>AND(OR(WEEKDAY($A10)=1,WEEKDAY($A10)=7),MOD(ROW(),2)&lt;&gt;0)</formula>
    </cfRule>
    <cfRule type="expression" dxfId="307" priority="464" stopIfTrue="1">
      <formula>AND(OR(WEEKDAY($A10)=1,WEEKDAY($A10)=7),MOD(ROW(),2)&lt;&gt;0)</formula>
    </cfRule>
    <cfRule type="expression" dxfId="306" priority="462" stopIfTrue="1">
      <formula>AND(AND(WEEKDAY($A10)&gt;1,WEEKDAY($A10)&lt;7),MOD(ROW(),2)=0)</formula>
    </cfRule>
    <cfRule type="expression" dxfId="305" priority="461" stopIfTrue="1">
      <formula>AND(OR(WEEKDAY($A10)=1,WEEKDAY($A10)=7),MOD(ROW(),2)&lt;&gt;0)</formula>
    </cfRule>
    <cfRule type="expression" dxfId="304" priority="460" stopIfTrue="1">
      <formula>AND(OR(WEEKDAY($A10)=1,WEEKDAY($A10)=7),MOD(ROW(),2)=0)</formula>
    </cfRule>
    <cfRule type="expression" dxfId="303" priority="459" stopIfTrue="1">
      <formula>AND(AND(WEEKDAY($A10)&gt;1,WEEKDAY($A10)&lt;7),MOD(ROW(),2)=0)</formula>
    </cfRule>
    <cfRule type="expression" dxfId="302" priority="458" stopIfTrue="1">
      <formula>AND(OR(WEEKDAY($A10)=1,WEEKDAY($A10)=7),MOD(ROW(),2)&lt;&gt;0)</formula>
    </cfRule>
    <cfRule type="expression" dxfId="301" priority="457" stopIfTrue="1">
      <formula>AND(OR(WEEKDAY($A10)=1,WEEKDAY($A10)=7),MOD(ROW(),2)=0)</formula>
    </cfRule>
    <cfRule type="expression" dxfId="300" priority="456" stopIfTrue="1">
      <formula>AND(AND(WEEKDAY($A10)&gt;1,WEEKDAY($A10)&lt;7),MOD(ROW(),2)=0)</formula>
    </cfRule>
    <cfRule type="expression" dxfId="299" priority="455" stopIfTrue="1">
      <formula>AND(OR(WEEKDAY($A10)=1,WEEKDAY($A10)=7),MOD(ROW(),2)&lt;&gt;0)</formula>
    </cfRule>
    <cfRule type="expression" dxfId="298" priority="454" stopIfTrue="1">
      <formula>AND(OR(WEEKDAY($A10)=1,WEEKDAY($A10)=7),MOD(ROW(),2)=0)</formula>
    </cfRule>
    <cfRule type="expression" dxfId="297" priority="453" stopIfTrue="1">
      <formula>AND(AND(WEEKDAY($A10)&gt;1,WEEKDAY($A10)&lt;7),MOD(ROW(),2)=0)</formula>
    </cfRule>
    <cfRule type="expression" dxfId="296" priority="476" stopIfTrue="1">
      <formula>AND(OR(WEEKDAY($A10)=1,WEEKDAY($A10)=7),MOD(ROW(),2)&lt;&gt;0)</formula>
    </cfRule>
    <cfRule type="expression" dxfId="295" priority="475" stopIfTrue="1">
      <formula>AND(OR(WEEKDAY($A10)=1,WEEKDAY($A10)=7),MOD(ROW(),2)=0)</formula>
    </cfRule>
    <cfRule type="expression" dxfId="294" priority="474" stopIfTrue="1">
      <formula>AND(AND(WEEKDAY($A10)&gt;1,WEEKDAY($A10)&lt;7),MOD(ROW(),2)=0)</formula>
    </cfRule>
    <cfRule type="expression" dxfId="293" priority="473" stopIfTrue="1">
      <formula>AND(OR(WEEKDAY($A10)=1,WEEKDAY($A10)=7),MOD(ROW(),2)&lt;&gt;0)</formula>
    </cfRule>
    <cfRule type="expression" dxfId="292" priority="472" stopIfTrue="1">
      <formula>AND(OR(WEEKDAY($A10)=1,WEEKDAY($A10)=7),MOD(ROW(),2)=0)</formula>
    </cfRule>
    <cfRule type="expression" dxfId="291" priority="471" stopIfTrue="1">
      <formula>AND(AND(WEEKDAY($A10)&gt;1,WEEKDAY($A10)&lt;7),MOD(ROW(),2)=0)</formula>
    </cfRule>
    <cfRule type="expression" dxfId="290" priority="470" stopIfTrue="1">
      <formula>AND(OR(WEEKDAY($A10)=1,WEEKDAY($A10)=7),MOD(ROW(),2)&lt;&gt;0)</formula>
    </cfRule>
    <cfRule type="expression" dxfId="289" priority="469" stopIfTrue="1">
      <formula>AND(OR(WEEKDAY($A10)=1,WEEKDAY($A10)=7),MOD(ROW(),2)=0)</formula>
    </cfRule>
    <cfRule type="expression" dxfId="288" priority="468" stopIfTrue="1">
      <formula>AND(AND(WEEKDAY($A10)&gt;1,WEEKDAY($A10)&lt;7),MOD(ROW(),2)=0)</formula>
    </cfRule>
    <cfRule type="expression" dxfId="287" priority="493" stopIfTrue="1">
      <formula>AND(OR(WEEKDAY($A10)=1,WEEKDAY($A10)=7),MOD(ROW(),2)=0)</formula>
    </cfRule>
    <cfRule type="expression" dxfId="286" priority="466" stopIfTrue="1">
      <formula>AND(OR(WEEKDAY($A10)=1,WEEKDAY($A10)=7),MOD(ROW(),2)=0)</formula>
    </cfRule>
    <cfRule type="expression" dxfId="285" priority="465" stopIfTrue="1">
      <formula>AND(AND(WEEKDAY($A10)&gt;1,WEEKDAY($A10)&lt;7),MOD(ROW(),2)=0)</formula>
    </cfRule>
    <cfRule type="expression" dxfId="284" priority="498" stopIfTrue="1">
      <formula>AND(AND(WEEKDAY($A10)&gt;1,WEEKDAY($A10)&lt;7),MOD(ROW(),2)=0)</formula>
    </cfRule>
    <cfRule type="expression" dxfId="283" priority="499" stopIfTrue="1">
      <formula>AND(OR(WEEKDAY($A10)=1,WEEKDAY($A10)=7),MOD(ROW(),2)=0)</formula>
    </cfRule>
    <cfRule type="expression" dxfId="282" priority="500" stopIfTrue="1">
      <formula>AND(OR(WEEKDAY($A10)=1,WEEKDAY($A10)=7),MOD(ROW(),2)&lt;&gt;0)</formula>
    </cfRule>
    <cfRule type="expression" dxfId="281" priority="501" stopIfTrue="1">
      <formula>AND(AND(WEEKDAY($A10)&gt;1,WEEKDAY($A10)&lt;7),MOD(ROW(),2)=0)</formula>
    </cfRule>
    <cfRule type="expression" dxfId="280" priority="502" stopIfTrue="1">
      <formula>AND(OR(WEEKDAY($A10)=1,WEEKDAY($A10)=7),MOD(ROW(),2)=0)</formula>
    </cfRule>
    <cfRule type="expression" dxfId="279" priority="503" stopIfTrue="1">
      <formula>AND(OR(WEEKDAY($A10)=1,WEEKDAY($A10)=7),MOD(ROW(),2)&lt;&gt;0)</formula>
    </cfRule>
    <cfRule type="expression" dxfId="278" priority="504" stopIfTrue="1">
      <formula>AND(AND(WEEKDAY($A10)&gt;1,WEEKDAY($A10)&lt;7),MOD(ROW(),2)=0)</formula>
    </cfRule>
    <cfRule type="expression" dxfId="277" priority="451" stopIfTrue="1">
      <formula>AND(OR(WEEKDAY($A10)=1,WEEKDAY($A10)=7),MOD(ROW(),2)=0)</formula>
    </cfRule>
    <cfRule type="expression" dxfId="276" priority="450" stopIfTrue="1">
      <formula>AND(AND(WEEKDAY($A10)&gt;1,WEEKDAY($A10)&lt;7),MOD(ROW(),2)=0)</formula>
    </cfRule>
    <cfRule type="expression" dxfId="275" priority="467" stopIfTrue="1">
      <formula>AND(OR(WEEKDAY($A10)=1,WEEKDAY($A10)=7),MOD(ROW(),2)&lt;&gt;0)</formula>
    </cfRule>
  </conditionalFormatting>
  <conditionalFormatting sqref="G10:G39">
    <cfRule type="expression" dxfId="274" priority="206" stopIfTrue="1">
      <formula>AND(OR(WEEKDAY($A10)=1,WEEKDAY($A10)=7),MOD(ROW(),2)&lt;&gt;0)</formula>
    </cfRule>
    <cfRule type="expression" dxfId="273" priority="207" stopIfTrue="1">
      <formula>AND(AND(WEEKDAY($A10)&gt;1,WEEKDAY($A10)&lt;7),MOD(ROW(),2)=0)</formula>
    </cfRule>
    <cfRule type="expression" dxfId="272" priority="208" stopIfTrue="1">
      <formula>AND(OR(WEEKDAY($A10)=1,WEEKDAY($A10)=7),MOD(ROW(),2)=0)</formula>
    </cfRule>
    <cfRule type="expression" dxfId="271" priority="209" stopIfTrue="1">
      <formula>AND(OR(WEEKDAY($A10)=1,WEEKDAY($A10)=7),MOD(ROW(),2)&lt;&gt;0)</formula>
    </cfRule>
    <cfRule type="expression" dxfId="270" priority="210" stopIfTrue="1">
      <formula>AND(AND(WEEKDAY($A10)&gt;1,WEEKDAY($A10)&lt;7),MOD(ROW(),2)=0)</formula>
    </cfRule>
    <cfRule type="expression" dxfId="269" priority="211" stopIfTrue="1">
      <formula>AND(OR(WEEKDAY($A10)=1,WEEKDAY($A10)=7),MOD(ROW(),2)=0)</formula>
    </cfRule>
    <cfRule type="expression" dxfId="268" priority="212" stopIfTrue="1">
      <formula>AND(OR(WEEKDAY($A10)=1,WEEKDAY($A10)=7),MOD(ROW(),2)&lt;&gt;0)</formula>
    </cfRule>
    <cfRule type="expression" dxfId="267" priority="213" stopIfTrue="1">
      <formula>AND(AND(WEEKDAY($A10)&gt;1,WEEKDAY($A10)&lt;7),MOD(ROW(),2)=0)</formula>
    </cfRule>
    <cfRule type="expression" dxfId="266" priority="214" stopIfTrue="1">
      <formula>AND(OR(WEEKDAY($A10)=1,WEEKDAY($A10)=7),MOD(ROW(),2)=0)</formula>
    </cfRule>
    <cfRule type="expression" dxfId="265" priority="215" stopIfTrue="1">
      <formula>AND(OR(WEEKDAY($A10)=1,WEEKDAY($A10)=7),MOD(ROW(),2)&lt;&gt;0)</formula>
    </cfRule>
    <cfRule type="expression" dxfId="264" priority="216" stopIfTrue="1">
      <formula>AND(AND(WEEKDAY($A10)&gt;1,WEEKDAY($A10)&lt;7),MOD(ROW(),2)=0)</formula>
    </cfRule>
    <cfRule type="expression" dxfId="263" priority="217" stopIfTrue="1">
      <formula>AND(OR(WEEKDAY($A10)=1,WEEKDAY($A10)=7),MOD(ROW(),2)=0)</formula>
    </cfRule>
    <cfRule type="expression" dxfId="262" priority="218" stopIfTrue="1">
      <formula>AND(OR(WEEKDAY($A10)=1,WEEKDAY($A10)=7),MOD(ROW(),2)&lt;&gt;0)</formula>
    </cfRule>
    <cfRule type="expression" dxfId="261" priority="219" stopIfTrue="1">
      <formula>AND(AND(WEEKDAY($A10)&gt;1,WEEKDAY($A10)&lt;7),MOD(ROW(),2)=0)</formula>
    </cfRule>
    <cfRule type="expression" dxfId="260" priority="220" stopIfTrue="1">
      <formula>AND(OR(WEEKDAY($A10)=1,WEEKDAY($A10)=7),MOD(ROW(),2)=0)</formula>
    </cfRule>
    <cfRule type="expression" dxfId="259" priority="221" stopIfTrue="1">
      <formula>AND(OR(WEEKDAY($A10)=1,WEEKDAY($A10)=7),MOD(ROW(),2)&lt;&gt;0)</formula>
    </cfRule>
    <cfRule type="expression" dxfId="258" priority="222" stopIfTrue="1">
      <formula>AND(AND(WEEKDAY($A10)&gt;1,WEEKDAY($A10)&lt;7),MOD(ROW(),2)=0)</formula>
    </cfRule>
    <cfRule type="expression" dxfId="257" priority="223" stopIfTrue="1">
      <formula>AND(OR(WEEKDAY($A10)=1,WEEKDAY($A10)=7),MOD(ROW(),2)=0)</formula>
    </cfRule>
    <cfRule type="expression" dxfId="256" priority="224" stopIfTrue="1">
      <formula>AND(OR(WEEKDAY($A10)=1,WEEKDAY($A10)=7),MOD(ROW(),2)&lt;&gt;0)</formula>
    </cfRule>
    <cfRule type="expression" dxfId="255" priority="282" stopIfTrue="1">
      <formula>AND(AND(WEEKDAY($A10)&gt;1,WEEKDAY($A10)&lt;7),MOD(ROW(),2)=0)</formula>
    </cfRule>
    <cfRule type="expression" dxfId="254" priority="281" stopIfTrue="1">
      <formula>AND(OR(WEEKDAY($A10)=1,WEEKDAY($A10)=7),MOD(ROW(),2)&lt;&gt;0)</formula>
    </cfRule>
    <cfRule type="expression" dxfId="253" priority="280" stopIfTrue="1">
      <formula>AND(OR(WEEKDAY($A10)=1,WEEKDAY($A10)=7),MOD(ROW(),2)=0)</formula>
    </cfRule>
    <cfRule type="expression" dxfId="252" priority="279" stopIfTrue="1">
      <formula>AND(AND(WEEKDAY($A10)&gt;1,WEEKDAY($A10)&lt;7),MOD(ROW(),2)=0)</formula>
    </cfRule>
    <cfRule type="expression" dxfId="251" priority="278" stopIfTrue="1">
      <formula>AND(OR(WEEKDAY($A10)=1,WEEKDAY($A10)=7),MOD(ROW(),2)&lt;&gt;0)</formula>
    </cfRule>
    <cfRule type="expression" dxfId="250" priority="277" stopIfTrue="1">
      <formula>AND(OR(WEEKDAY($A10)=1,WEEKDAY($A10)=7),MOD(ROW(),2)=0)</formula>
    </cfRule>
    <cfRule type="expression" dxfId="249" priority="276" stopIfTrue="1">
      <formula>AND(AND(WEEKDAY($A10)&gt;1,WEEKDAY($A10)&lt;7),MOD(ROW(),2)=0)</formula>
    </cfRule>
    <cfRule type="expression" dxfId="248" priority="275" stopIfTrue="1">
      <formula>AND(OR(WEEKDAY($A10)=1,WEEKDAY($A10)=7),MOD(ROW(),2)&lt;&gt;0)</formula>
    </cfRule>
    <cfRule type="expression" dxfId="247" priority="274" stopIfTrue="1">
      <formula>AND(OR(WEEKDAY($A10)=1,WEEKDAY($A10)=7),MOD(ROW(),2)=0)</formula>
    </cfRule>
    <cfRule type="expression" dxfId="246" priority="273" stopIfTrue="1">
      <formula>AND(AND(WEEKDAY($A10)&gt;1,WEEKDAY($A10)&lt;7),MOD(ROW(),2)=0)</formula>
    </cfRule>
    <cfRule type="expression" dxfId="245" priority="272" stopIfTrue="1">
      <formula>AND(OR(WEEKDAY($A10)=1,WEEKDAY($A10)=7),MOD(ROW(),2)&lt;&gt;0)</formula>
    </cfRule>
    <cfRule type="expression" dxfId="244" priority="271" stopIfTrue="1">
      <formula>AND(OR(WEEKDAY($A10)=1,WEEKDAY($A10)=7),MOD(ROW(),2)=0)</formula>
    </cfRule>
    <cfRule type="expression" dxfId="243" priority="270" stopIfTrue="1">
      <formula>AND(AND(WEEKDAY($A10)&gt;1,WEEKDAY($A10)&lt;7),MOD(ROW(),2)=0)</formula>
    </cfRule>
    <cfRule type="expression" dxfId="242" priority="269" stopIfTrue="1">
      <formula>AND(OR(WEEKDAY($A10)=1,WEEKDAY($A10)=7),MOD(ROW(),2)&lt;&gt;0)</formula>
    </cfRule>
    <cfRule type="expression" dxfId="241" priority="268" stopIfTrue="1">
      <formula>AND(OR(WEEKDAY($A10)=1,WEEKDAY($A10)=7),MOD(ROW(),2)=0)</formula>
    </cfRule>
    <cfRule type="expression" dxfId="240" priority="267" stopIfTrue="1">
      <formula>AND(AND(WEEKDAY($A10)&gt;1,WEEKDAY($A10)&lt;7),MOD(ROW(),2)=0)</formula>
    </cfRule>
    <cfRule type="expression" dxfId="239" priority="266" stopIfTrue="1">
      <formula>AND(OR(WEEKDAY($A10)=1,WEEKDAY($A10)=7),MOD(ROW(),2)&lt;&gt;0)</formula>
    </cfRule>
    <cfRule type="expression" dxfId="238" priority="265" stopIfTrue="1">
      <formula>AND(OR(WEEKDAY($A10)=1,WEEKDAY($A10)=7),MOD(ROW(),2)=0)</formula>
    </cfRule>
    <cfRule type="expression" dxfId="237" priority="264" stopIfTrue="1">
      <formula>AND(AND(WEEKDAY($A10)&gt;1,WEEKDAY($A10)&lt;7),MOD(ROW(),2)=0)</formula>
    </cfRule>
    <cfRule type="expression" dxfId="236" priority="263" stopIfTrue="1">
      <formula>AND(OR(WEEKDAY($A10)=1,WEEKDAY($A10)=7),MOD(ROW(),2)&lt;&gt;0)</formula>
    </cfRule>
    <cfRule type="expression" dxfId="235" priority="262" stopIfTrue="1">
      <formula>AND(OR(WEEKDAY($A10)=1,WEEKDAY($A10)=7),MOD(ROW(),2)=0)</formula>
    </cfRule>
    <cfRule type="expression" dxfId="234" priority="261" stopIfTrue="1">
      <formula>AND(AND(WEEKDAY($A10)&gt;1,WEEKDAY($A10)&lt;7),MOD(ROW(),2)=0)</formula>
    </cfRule>
    <cfRule type="expression" dxfId="233" priority="260" stopIfTrue="1">
      <formula>AND(OR(WEEKDAY($A10)=1,WEEKDAY($A10)=7),MOD(ROW(),2)&lt;&gt;0)</formula>
    </cfRule>
    <cfRule type="expression" dxfId="232" priority="259" stopIfTrue="1">
      <formula>AND(OR(WEEKDAY($A10)=1,WEEKDAY($A10)=7),MOD(ROW(),2)=0)</formula>
    </cfRule>
    <cfRule type="expression" dxfId="231" priority="258" stopIfTrue="1">
      <formula>AND(AND(WEEKDAY($A10)&gt;1,WEEKDAY($A10)&lt;7),MOD(ROW(),2)=0)</formula>
    </cfRule>
    <cfRule type="expression" dxfId="230" priority="257" stopIfTrue="1">
      <formula>AND(OR(WEEKDAY($A10)=1,WEEKDAY($A10)=7),MOD(ROW(),2)&lt;&gt;0)</formula>
    </cfRule>
    <cfRule type="expression" dxfId="229" priority="256" stopIfTrue="1">
      <formula>AND(OR(WEEKDAY($A10)=1,WEEKDAY($A10)=7),MOD(ROW(),2)=0)</formula>
    </cfRule>
    <cfRule type="expression" dxfId="228" priority="255" stopIfTrue="1">
      <formula>AND(AND(WEEKDAY($A10)&gt;1,WEEKDAY($A10)&lt;7),MOD(ROW(),2)=0)</formula>
    </cfRule>
    <cfRule type="expression" dxfId="227" priority="254" stopIfTrue="1">
      <formula>AND(OR(WEEKDAY($A10)=1,WEEKDAY($A10)=7),MOD(ROW(),2)&lt;&gt;0)</formula>
    </cfRule>
    <cfRule type="expression" dxfId="226" priority="253" stopIfTrue="1">
      <formula>AND(OR(WEEKDAY($A10)=1,WEEKDAY($A10)=7),MOD(ROW(),2)=0)</formula>
    </cfRule>
    <cfRule type="expression" dxfId="225" priority="252" stopIfTrue="1">
      <formula>AND(AND(WEEKDAY($A10)&gt;1,WEEKDAY($A10)&lt;7),MOD(ROW(),2)=0)</formula>
    </cfRule>
    <cfRule type="expression" dxfId="224" priority="251" stopIfTrue="1">
      <formula>AND(OR(WEEKDAY($A10)=1,WEEKDAY($A10)=7),MOD(ROW(),2)&lt;&gt;0)</formula>
    </cfRule>
    <cfRule type="expression" dxfId="223" priority="225" stopIfTrue="1">
      <formula>AND(AND(WEEKDAY($A10)&gt;1,WEEKDAY($A10)&lt;7),MOD(ROW(),2)=0)</formula>
    </cfRule>
    <cfRule type="expression" dxfId="222" priority="226" stopIfTrue="1">
      <formula>AND(OR(WEEKDAY($A10)=1,WEEKDAY($A10)=7),MOD(ROW(),2)=0)</formula>
    </cfRule>
    <cfRule type="expression" dxfId="221" priority="250" stopIfTrue="1">
      <formula>AND(OR(WEEKDAY($A10)=1,WEEKDAY($A10)=7),MOD(ROW(),2)=0)</formula>
    </cfRule>
    <cfRule type="expression" dxfId="220" priority="249" stopIfTrue="1">
      <formula>AND(AND(WEEKDAY($A10)&gt;1,WEEKDAY($A10)&lt;7),MOD(ROW(),2)=0)</formula>
    </cfRule>
    <cfRule type="expression" dxfId="219" priority="248" stopIfTrue="1">
      <formula>AND(OR(WEEKDAY($A10)=1,WEEKDAY($A10)=7),MOD(ROW(),2)&lt;&gt;0)</formula>
    </cfRule>
    <cfRule type="expression" dxfId="218" priority="247" stopIfTrue="1">
      <formula>AND(OR(WEEKDAY($A10)=1,WEEKDAY($A10)=7),MOD(ROW(),2)=0)</formula>
    </cfRule>
    <cfRule type="expression" dxfId="217" priority="246" stopIfTrue="1">
      <formula>AND(AND(WEEKDAY($A10)&gt;1,WEEKDAY($A10)&lt;7),MOD(ROW(),2)=0)</formula>
    </cfRule>
    <cfRule type="expression" dxfId="216" priority="245" stopIfTrue="1">
      <formula>AND(OR(WEEKDAY($A10)=1,WEEKDAY($A10)=7),MOD(ROW(),2)&lt;&gt;0)</formula>
    </cfRule>
    <cfRule type="expression" dxfId="215" priority="244" stopIfTrue="1">
      <formula>AND(OR(WEEKDAY($A10)=1,WEEKDAY($A10)=7),MOD(ROW(),2)=0)</formula>
    </cfRule>
    <cfRule type="expression" dxfId="214" priority="243" stopIfTrue="1">
      <formula>AND(AND(WEEKDAY($A10)&gt;1,WEEKDAY($A10)&lt;7),MOD(ROW(),2)=0)</formula>
    </cfRule>
    <cfRule type="expression" dxfId="213" priority="242" stopIfTrue="1">
      <formula>AND(OR(WEEKDAY($A10)=1,WEEKDAY($A10)=7),MOD(ROW(),2)&lt;&gt;0)</formula>
    </cfRule>
    <cfRule type="expression" dxfId="212" priority="241" stopIfTrue="1">
      <formula>AND(OR(WEEKDAY($A10)=1,WEEKDAY($A10)=7),MOD(ROW(),2)=0)</formula>
    </cfRule>
    <cfRule type="expression" dxfId="211" priority="227" stopIfTrue="1">
      <formula>AND(OR(WEEKDAY($A10)=1,WEEKDAY($A10)=7),MOD(ROW(),2)&lt;&gt;0)</formula>
    </cfRule>
    <cfRule type="expression" dxfId="210" priority="228" stopIfTrue="1">
      <formula>AND(AND(WEEKDAY($A10)&gt;1,WEEKDAY($A10)&lt;7),MOD(ROW(),2)=0)</formula>
    </cfRule>
    <cfRule type="expression" dxfId="209" priority="240" stopIfTrue="1">
      <formula>AND(AND(WEEKDAY($A10)&gt;1,WEEKDAY($A10)&lt;7),MOD(ROW(),2)=0)</formula>
    </cfRule>
    <cfRule type="expression" dxfId="208" priority="239" stopIfTrue="1">
      <formula>AND(OR(WEEKDAY($A10)=1,WEEKDAY($A10)=7),MOD(ROW(),2)&lt;&gt;0)</formula>
    </cfRule>
    <cfRule type="expression" dxfId="207" priority="238" stopIfTrue="1">
      <formula>AND(OR(WEEKDAY($A10)=1,WEEKDAY($A10)=7),MOD(ROW(),2)=0)</formula>
    </cfRule>
    <cfRule type="expression" dxfId="206" priority="237" stopIfTrue="1">
      <formula>AND(AND(WEEKDAY($A10)&gt;1,WEEKDAY($A10)&lt;7),MOD(ROW(),2)=0)</formula>
    </cfRule>
    <cfRule type="expression" dxfId="205" priority="236" stopIfTrue="1">
      <formula>AND(OR(WEEKDAY($A10)=1,WEEKDAY($A10)=7),MOD(ROW(),2)&lt;&gt;0)</formula>
    </cfRule>
    <cfRule type="expression" dxfId="204" priority="235" stopIfTrue="1">
      <formula>AND(OR(WEEKDAY($A10)=1,WEEKDAY($A10)=7),MOD(ROW(),2)=0)</formula>
    </cfRule>
    <cfRule type="expression" dxfId="203" priority="234" stopIfTrue="1">
      <formula>AND(AND(WEEKDAY($A10)&gt;1,WEEKDAY($A10)&lt;7),MOD(ROW(),2)=0)</formula>
    </cfRule>
    <cfRule type="expression" dxfId="202" priority="233" stopIfTrue="1">
      <formula>AND(OR(WEEKDAY($A10)=1,WEEKDAY($A10)=7),MOD(ROW(),2)&lt;&gt;0)</formula>
    </cfRule>
    <cfRule type="expression" dxfId="201" priority="232" stopIfTrue="1">
      <formula>AND(OR(WEEKDAY($A10)=1,WEEKDAY($A10)=7),MOD(ROW(),2)=0)</formula>
    </cfRule>
    <cfRule type="expression" dxfId="200" priority="230" stopIfTrue="1">
      <formula>AND(OR(WEEKDAY($A10)=1,WEEKDAY($A10)=7),MOD(ROW(),2)&lt;&gt;0)</formula>
    </cfRule>
    <cfRule type="expression" dxfId="199" priority="229" stopIfTrue="1">
      <formula>AND(OR(WEEKDAY($A10)=1,WEEKDAY($A10)=7),MOD(ROW(),2)=0)</formula>
    </cfRule>
    <cfRule type="expression" dxfId="198" priority="231" stopIfTrue="1">
      <formula>AND(AND(WEEKDAY($A10)&gt;1,WEEKDAY($A10)&lt;7),MOD(ROW(),2)=0)</formula>
    </cfRule>
    <cfRule type="expression" dxfId="197" priority="199" stopIfTrue="1">
      <formula>AND(OR(WEEKDAY($A10)=1,WEEKDAY($A10)=7),MOD(ROW(),2)=0)</formula>
    </cfRule>
    <cfRule type="expression" dxfId="196" priority="200" stopIfTrue="1">
      <formula>AND(OR(WEEKDAY($A10)=1,WEEKDAY($A10)=7),MOD(ROW(),2)&lt;&gt;0)</formula>
    </cfRule>
    <cfRule type="expression" dxfId="195" priority="201" stopIfTrue="1">
      <formula>AND(AND(WEEKDAY($A10)&gt;1,WEEKDAY($A10)&lt;7),MOD(ROW(),2)=0)</formula>
    </cfRule>
    <cfRule type="expression" dxfId="194" priority="202" stopIfTrue="1">
      <formula>AND(OR(WEEKDAY($A10)=1,WEEKDAY($A10)=7),MOD(ROW(),2)=0)</formula>
    </cfRule>
    <cfRule type="expression" dxfId="193" priority="203" stopIfTrue="1">
      <formula>AND(OR(WEEKDAY($A10)=1,WEEKDAY($A10)=7),MOD(ROW(),2)&lt;&gt;0)</formula>
    </cfRule>
    <cfRule type="expression" dxfId="192" priority="204" stopIfTrue="1">
      <formula>AND(AND(WEEKDAY($A10)&gt;1,WEEKDAY($A10)&lt;7),MOD(ROW(),2)=0)</formula>
    </cfRule>
    <cfRule type="expression" dxfId="191" priority="205" stopIfTrue="1">
      <formula>AND(OR(WEEKDAY($A10)=1,WEEKDAY($A10)=7),MOD(ROW(),2)=0)</formula>
    </cfRule>
  </conditionalFormatting>
  <conditionalFormatting sqref="G10:G40">
    <cfRule type="expression" dxfId="190" priority="283" stopIfTrue="1">
      <formula>AND(OR(WEEKDAY($A10)=1,WEEKDAY($A10)=7),MOD(ROW(),2)=0)</formula>
    </cfRule>
    <cfRule type="expression" dxfId="189" priority="285" stopIfTrue="1">
      <formula>AND(AND(WEEKDAY($A10)&gt;1,WEEKDAY($A10)&lt;7),MOD(ROW(),2)=0)</formula>
    </cfRule>
    <cfRule type="expression" dxfId="188" priority="284" stopIfTrue="1">
      <formula>AND(OR(WEEKDAY($A10)=1,WEEKDAY($A10)=7),MOD(ROW(),2)&lt;&gt;0)</formula>
    </cfRule>
  </conditionalFormatting>
  <conditionalFormatting sqref="G40">
    <cfRule type="expression" dxfId="187" priority="511" stopIfTrue="1">
      <formula>AND(OR(WEEKDAY($A40)=1,WEEKDAY($A40)=7),MOD(ROW(),2)=0)</formula>
    </cfRule>
    <cfRule type="expression" dxfId="186" priority="512" stopIfTrue="1">
      <formula>AND(OR(WEEKDAY($A40)=1,WEEKDAY($A40)=7),MOD(ROW(),2)&lt;&gt;0)</formula>
    </cfRule>
    <cfRule type="expression" dxfId="185" priority="513" stopIfTrue="1">
      <formula>AND(AND(WEEKDAY($A40)&gt;1,WEEKDAY($A40)&lt;7),MOD(ROW(),2)=0)</formula>
    </cfRule>
    <cfRule type="expression" dxfId="184" priority="514" stopIfTrue="1">
      <formula>AND(OR(WEEKDAY($A40)=1,WEEKDAY($A40)=7),MOD(ROW(),2)=0)</formula>
    </cfRule>
    <cfRule type="expression" dxfId="183" priority="515" stopIfTrue="1">
      <formula>AND(OR(WEEKDAY($A40)=1,WEEKDAY($A40)=7),MOD(ROW(),2)&lt;&gt;0)</formula>
    </cfRule>
    <cfRule type="expression" dxfId="182" priority="516" stopIfTrue="1">
      <formula>AND(AND(WEEKDAY($A40)&gt;1,WEEKDAY($A40)&lt;7),MOD(ROW(),2)=0)</formula>
    </cfRule>
  </conditionalFormatting>
  <conditionalFormatting sqref="G40:H40">
    <cfRule type="expression" dxfId="181" priority="519" stopIfTrue="1">
      <formula>AND(AND(WEEKDAY($A40)&gt;1,WEEKDAY($A40)&lt;7),MOD(ROW(),2)=0)</formula>
    </cfRule>
    <cfRule type="expression" dxfId="180" priority="517" stopIfTrue="1">
      <formula>AND(OR(WEEKDAY($A40)=1,WEEKDAY($A40)=7),MOD(ROW(),2)=0)</formula>
    </cfRule>
    <cfRule type="expression" dxfId="179" priority="518" stopIfTrue="1">
      <formula>AND(OR(WEEKDAY($A40)=1,WEEKDAY($A40)=7),MOD(ROW(),2)&lt;&gt;0)</formula>
    </cfRule>
  </conditionalFormatting>
  <conditionalFormatting sqref="G10:N10">
    <cfRule type="expression" dxfId="178" priority="506" stopIfTrue="1">
      <formula>AND(OR(WEEKDAY($A10)=1,WEEKDAY($A10)=7),MOD(ROW(),2)&lt;&gt;0)</formula>
    </cfRule>
    <cfRule type="expression" dxfId="177" priority="505" stopIfTrue="1">
      <formula>AND(OR(WEEKDAY($A10)=1,WEEKDAY($A10)=7),MOD(ROW(),2)=0)</formula>
    </cfRule>
    <cfRule type="expression" dxfId="176" priority="507" stopIfTrue="1">
      <formula>AND(AND(WEEKDAY($A10)&gt;1,WEEKDAY($A10)&lt;7),MOD(ROW(),2)=0)</formula>
    </cfRule>
  </conditionalFormatting>
  <conditionalFormatting sqref="H10">
    <cfRule type="expression" dxfId="175" priority="326" stopIfTrue="1">
      <formula>AND(OR(WEEKDAY($A10)=1,WEEKDAY($A10)=7),MOD(ROW(),2)&lt;&gt;0)</formula>
    </cfRule>
    <cfRule type="expression" dxfId="174" priority="327" stopIfTrue="1">
      <formula>AND(AND(WEEKDAY($A10)&gt;1,WEEKDAY($A10)&lt;7),MOD(ROW(),2)=0)</formula>
    </cfRule>
    <cfRule type="expression" dxfId="173" priority="328" stopIfTrue="1">
      <formula>AND(OR(WEEKDAY($A10)=1,WEEKDAY($A10)=7),MOD(ROW(),2)=0)</formula>
    </cfRule>
    <cfRule type="expression" dxfId="172" priority="329" stopIfTrue="1">
      <formula>AND(OR(WEEKDAY($A10)=1,WEEKDAY($A10)=7),MOD(ROW(),2)&lt;&gt;0)</formula>
    </cfRule>
    <cfRule type="expression" dxfId="171" priority="330" stopIfTrue="1">
      <formula>AND(AND(WEEKDAY($A10)&gt;1,WEEKDAY($A10)&lt;7),MOD(ROW(),2)=0)</formula>
    </cfRule>
    <cfRule type="expression" dxfId="170" priority="331" stopIfTrue="1">
      <formula>AND(OR(WEEKDAY($A10)=1,WEEKDAY($A10)=7),MOD(ROW(),2)=0)</formula>
    </cfRule>
    <cfRule type="expression" dxfId="169" priority="332" stopIfTrue="1">
      <formula>AND(OR(WEEKDAY($A10)=1,WEEKDAY($A10)=7),MOD(ROW(),2)&lt;&gt;0)</formula>
    </cfRule>
    <cfRule type="expression" dxfId="168" priority="333" stopIfTrue="1">
      <formula>AND(AND(WEEKDAY($A10)&gt;1,WEEKDAY($A10)&lt;7),MOD(ROW(),2)=0)</formula>
    </cfRule>
    <cfRule type="expression" dxfId="167" priority="334" stopIfTrue="1">
      <formula>AND(OR(WEEKDAY($A10)=1,WEEKDAY($A10)=7),MOD(ROW(),2)=0)</formula>
    </cfRule>
    <cfRule type="expression" dxfId="166" priority="335" stopIfTrue="1">
      <formula>AND(OR(WEEKDAY($A10)=1,WEEKDAY($A10)=7),MOD(ROW(),2)&lt;&gt;0)</formula>
    </cfRule>
    <cfRule type="expression" dxfId="165" priority="336" stopIfTrue="1">
      <formula>AND(AND(WEEKDAY($A10)&gt;1,WEEKDAY($A10)&lt;7),MOD(ROW(),2)=0)</formula>
    </cfRule>
    <cfRule type="expression" dxfId="164" priority="337" stopIfTrue="1">
      <formula>AND(OR(WEEKDAY($A10)=1,WEEKDAY($A10)=7),MOD(ROW(),2)=0)</formula>
    </cfRule>
    <cfRule type="expression" dxfId="163" priority="338" stopIfTrue="1">
      <formula>AND(OR(WEEKDAY($A10)=1,WEEKDAY($A10)=7),MOD(ROW(),2)&lt;&gt;0)</formula>
    </cfRule>
    <cfRule type="expression" dxfId="162" priority="339" stopIfTrue="1">
      <formula>AND(AND(WEEKDAY($A10)&gt;1,WEEKDAY($A10)&lt;7),MOD(ROW(),2)=0)</formula>
    </cfRule>
    <cfRule type="expression" dxfId="161" priority="364" stopIfTrue="1">
      <formula>AND(OR(WEEKDAY($A10)=1,WEEKDAY($A10)=7),MOD(ROW(),2)=0)</formula>
    </cfRule>
    <cfRule type="expression" dxfId="160" priority="365" stopIfTrue="1">
      <formula>AND(OR(WEEKDAY($A10)=1,WEEKDAY($A10)=7),MOD(ROW(),2)&lt;&gt;0)</formula>
    </cfRule>
    <cfRule type="expression" dxfId="159" priority="322" stopIfTrue="1">
      <formula>AND(OR(WEEKDAY($A10)=1,WEEKDAY($A10)=7),MOD(ROW(),2)=0)</formula>
    </cfRule>
    <cfRule type="expression" dxfId="158" priority="323" stopIfTrue="1">
      <formula>AND(OR(WEEKDAY($A10)=1,WEEKDAY($A10)=7),MOD(ROW(),2)&lt;&gt;0)</formula>
    </cfRule>
    <cfRule type="expression" dxfId="157" priority="324" stopIfTrue="1">
      <formula>AND(AND(WEEKDAY($A10)&gt;1,WEEKDAY($A10)&lt;7),MOD(ROW(),2)=0)</formula>
    </cfRule>
    <cfRule type="expression" dxfId="156" priority="325" stopIfTrue="1">
      <formula>AND(OR(WEEKDAY($A10)=1,WEEKDAY($A10)=7),MOD(ROW(),2)=0)</formula>
    </cfRule>
    <cfRule type="expression" dxfId="155" priority="340" stopIfTrue="1">
      <formula>AND(OR(WEEKDAY($A10)=1,WEEKDAY($A10)=7),MOD(ROW(),2)=0)</formula>
    </cfRule>
    <cfRule type="expression" dxfId="154" priority="346" stopIfTrue="1">
      <formula>AND(OR(WEEKDAY($A10)=1,WEEKDAY($A10)=7),MOD(ROW(),2)=0)</formula>
    </cfRule>
    <cfRule type="expression" dxfId="153" priority="350" stopIfTrue="1">
      <formula>AND(OR(WEEKDAY($A10)=1,WEEKDAY($A10)=7),MOD(ROW(),2)&lt;&gt;0)</formula>
    </cfRule>
    <cfRule type="expression" dxfId="152" priority="349" stopIfTrue="1">
      <formula>AND(OR(WEEKDAY($A10)=1,WEEKDAY($A10)=7),MOD(ROW(),2)=0)</formula>
    </cfRule>
    <cfRule type="expression" dxfId="151" priority="348" stopIfTrue="1">
      <formula>AND(AND(WEEKDAY($A10)&gt;1,WEEKDAY($A10)&lt;7),MOD(ROW(),2)=0)</formula>
    </cfRule>
    <cfRule type="expression" dxfId="150" priority="347" stopIfTrue="1">
      <formula>AND(OR(WEEKDAY($A10)=1,WEEKDAY($A10)=7),MOD(ROW(),2)&lt;&gt;0)</formula>
    </cfRule>
    <cfRule type="expression" dxfId="149" priority="345" stopIfTrue="1">
      <formula>AND(AND(WEEKDAY($A10)&gt;1,WEEKDAY($A10)&lt;7),MOD(ROW(),2)=0)</formula>
    </cfRule>
    <cfRule type="expression" dxfId="148" priority="343" stopIfTrue="1">
      <formula>AND(OR(WEEKDAY($A10)=1,WEEKDAY($A10)=7),MOD(ROW(),2)=0)</formula>
    </cfRule>
    <cfRule type="expression" dxfId="147" priority="342" stopIfTrue="1">
      <formula>AND(AND(WEEKDAY($A10)&gt;1,WEEKDAY($A10)&lt;7),MOD(ROW(),2)=0)</formula>
    </cfRule>
    <cfRule type="expression" dxfId="146" priority="341" stopIfTrue="1">
      <formula>AND(OR(WEEKDAY($A10)=1,WEEKDAY($A10)=7),MOD(ROW(),2)&lt;&gt;0)</formula>
    </cfRule>
    <cfRule type="expression" dxfId="145" priority="351" stopIfTrue="1">
      <formula>AND(AND(WEEKDAY($A10)&gt;1,WEEKDAY($A10)&lt;7),MOD(ROW(),2)=0)</formula>
    </cfRule>
    <cfRule type="expression" dxfId="144" priority="352" stopIfTrue="1">
      <formula>AND(OR(WEEKDAY($A10)=1,WEEKDAY($A10)=7),MOD(ROW(),2)=0)</formula>
    </cfRule>
    <cfRule type="expression" dxfId="143" priority="353" stopIfTrue="1">
      <formula>AND(OR(WEEKDAY($A10)=1,WEEKDAY($A10)=7),MOD(ROW(),2)&lt;&gt;0)</formula>
    </cfRule>
    <cfRule type="expression" dxfId="142" priority="354" stopIfTrue="1">
      <formula>AND(AND(WEEKDAY($A10)&gt;1,WEEKDAY($A10)&lt;7),MOD(ROW(),2)=0)</formula>
    </cfRule>
    <cfRule type="expression" dxfId="141" priority="362" stopIfTrue="1">
      <formula>AND(OR(WEEKDAY($A10)=1,WEEKDAY($A10)=7),MOD(ROW(),2)&lt;&gt;0)</formula>
    </cfRule>
    <cfRule type="expression" dxfId="140" priority="366" stopIfTrue="1">
      <formula>AND(AND(WEEKDAY($A10)&gt;1,WEEKDAY($A10)&lt;7),MOD(ROW(),2)=0)</formula>
    </cfRule>
    <cfRule type="expression" dxfId="139" priority="355" stopIfTrue="1">
      <formula>AND(OR(WEEKDAY($A10)=1,WEEKDAY($A10)=7),MOD(ROW(),2)=0)</formula>
    </cfRule>
    <cfRule type="expression" dxfId="138" priority="356" stopIfTrue="1">
      <formula>AND(OR(WEEKDAY($A10)=1,WEEKDAY($A10)=7),MOD(ROW(),2)&lt;&gt;0)</formula>
    </cfRule>
    <cfRule type="expression" dxfId="137" priority="357" stopIfTrue="1">
      <formula>AND(AND(WEEKDAY($A10)&gt;1,WEEKDAY($A10)&lt;7),MOD(ROW(),2)=0)</formula>
    </cfRule>
    <cfRule type="expression" dxfId="136" priority="358" stopIfTrue="1">
      <formula>AND(OR(WEEKDAY($A10)=1,WEEKDAY($A10)=7),MOD(ROW(),2)=0)</formula>
    </cfRule>
    <cfRule type="expression" dxfId="135" priority="344" stopIfTrue="1">
      <formula>AND(OR(WEEKDAY($A10)=1,WEEKDAY($A10)=7),MOD(ROW(),2)&lt;&gt;0)</formula>
    </cfRule>
    <cfRule type="expression" dxfId="134" priority="359" stopIfTrue="1">
      <formula>AND(OR(WEEKDAY($A10)=1,WEEKDAY($A10)=7),MOD(ROW(),2)&lt;&gt;0)</formula>
    </cfRule>
    <cfRule type="expression" dxfId="133" priority="360" stopIfTrue="1">
      <formula>AND(AND(WEEKDAY($A10)&gt;1,WEEKDAY($A10)&lt;7),MOD(ROW(),2)=0)</formula>
    </cfRule>
    <cfRule type="expression" dxfId="132" priority="363" stopIfTrue="1">
      <formula>AND(AND(WEEKDAY($A10)&gt;1,WEEKDAY($A10)&lt;7),MOD(ROW(),2)=0)</formula>
    </cfRule>
    <cfRule type="expression" dxfId="131" priority="361" stopIfTrue="1">
      <formula>AND(OR(WEEKDAY($A10)=1,WEEKDAY($A10)=7),MOD(ROW(),2)=0)</formula>
    </cfRule>
  </conditionalFormatting>
  <conditionalFormatting sqref="H10:H39 E10:F39">
    <cfRule type="expression" dxfId="130" priority="315" stopIfTrue="1">
      <formula>AND(AND(WEEKDAY($A10)&gt;1,WEEKDAY($A10)&lt;7),MOD(ROW(),2)=0)</formula>
    </cfRule>
    <cfRule type="expression" dxfId="129" priority="314" stopIfTrue="1">
      <formula>AND(OR(WEEKDAY($A10)=1,WEEKDAY($A10)=7),MOD(ROW(),2)&lt;&gt;0)</formula>
    </cfRule>
  </conditionalFormatting>
  <conditionalFormatting sqref="H10:H39">
    <cfRule type="expression" dxfId="128" priority="139" stopIfTrue="1">
      <formula>AND(OR(WEEKDAY($A10)=1,WEEKDAY($A10)=7),MOD(ROW(),2)=0)</formula>
    </cfRule>
    <cfRule type="expression" dxfId="127" priority="138" stopIfTrue="1">
      <formula>AND(AND(WEEKDAY($A10)&gt;1,WEEKDAY($A10)&lt;7),MOD(ROW(),2)=0)</formula>
    </cfRule>
    <cfRule type="expression" dxfId="126" priority="137" stopIfTrue="1">
      <formula>AND(OR(WEEKDAY($A10)=1,WEEKDAY($A10)=7),MOD(ROW(),2)&lt;&gt;0)</formula>
    </cfRule>
    <cfRule type="expression" dxfId="125" priority="136" stopIfTrue="1">
      <formula>AND(OR(WEEKDAY($A10)=1,WEEKDAY($A10)=7),MOD(ROW(),2)=0)</formula>
    </cfRule>
    <cfRule type="expression" dxfId="124" priority="135" stopIfTrue="1">
      <formula>AND(AND(WEEKDAY($A10)&gt;1,WEEKDAY($A10)&lt;7),MOD(ROW(),2)=0)</formula>
    </cfRule>
    <cfRule type="expression" dxfId="123" priority="134" stopIfTrue="1">
      <formula>AND(OR(WEEKDAY($A10)=1,WEEKDAY($A10)=7),MOD(ROW(),2)&lt;&gt;0)</formula>
    </cfRule>
    <cfRule type="expression" dxfId="122" priority="133" stopIfTrue="1">
      <formula>AND(OR(WEEKDAY($A10)=1,WEEKDAY($A10)=7),MOD(ROW(),2)=0)</formula>
    </cfRule>
    <cfRule type="expression" dxfId="121" priority="132" stopIfTrue="1">
      <formula>AND(AND(WEEKDAY($A10)&gt;1,WEEKDAY($A10)&lt;7),MOD(ROW(),2)=0)</formula>
    </cfRule>
    <cfRule type="expression" dxfId="120" priority="131" stopIfTrue="1">
      <formula>AND(OR(WEEKDAY($A10)=1,WEEKDAY($A10)=7),MOD(ROW(),2)&lt;&gt;0)</formula>
    </cfRule>
    <cfRule type="expression" dxfId="119" priority="130" stopIfTrue="1">
      <formula>AND(OR(WEEKDAY($A10)=1,WEEKDAY($A10)=7),MOD(ROW(),2)=0)</formula>
    </cfRule>
    <cfRule type="expression" dxfId="118" priority="129" stopIfTrue="1">
      <formula>AND(AND(WEEKDAY($A10)&gt;1,WEEKDAY($A10)&lt;7),MOD(ROW(),2)=0)</formula>
    </cfRule>
    <cfRule type="expression" dxfId="117" priority="128" stopIfTrue="1">
      <formula>AND(OR(WEEKDAY($A10)=1,WEEKDAY($A10)=7),MOD(ROW(),2)&lt;&gt;0)</formula>
    </cfRule>
    <cfRule type="expression" dxfId="116" priority="127" stopIfTrue="1">
      <formula>AND(OR(WEEKDAY($A10)=1,WEEKDAY($A10)=7),MOD(ROW(),2)=0)</formula>
    </cfRule>
    <cfRule type="expression" dxfId="115" priority="126" stopIfTrue="1">
      <formula>AND(AND(WEEKDAY($A10)&gt;1,WEEKDAY($A10)&lt;7),MOD(ROW(),2)=0)</formula>
    </cfRule>
    <cfRule type="expression" dxfId="114" priority="125" stopIfTrue="1">
      <formula>AND(OR(WEEKDAY($A10)=1,WEEKDAY($A10)=7),MOD(ROW(),2)&lt;&gt;0)</formula>
    </cfRule>
    <cfRule type="expression" dxfId="113" priority="124" stopIfTrue="1">
      <formula>AND(OR(WEEKDAY($A10)=1,WEEKDAY($A10)=7),MOD(ROW(),2)=0)</formula>
    </cfRule>
    <cfRule type="expression" dxfId="112" priority="123" stopIfTrue="1">
      <formula>AND(AND(WEEKDAY($A10)&gt;1,WEEKDAY($A10)&lt;7),MOD(ROW(),2)=0)</formula>
    </cfRule>
    <cfRule type="expression" dxfId="111" priority="122" stopIfTrue="1">
      <formula>AND(OR(WEEKDAY($A10)=1,WEEKDAY($A10)=7),MOD(ROW(),2)&lt;&gt;0)</formula>
    </cfRule>
    <cfRule type="expression" dxfId="110" priority="121" stopIfTrue="1">
      <formula>AND(OR(WEEKDAY($A10)=1,WEEKDAY($A10)=7),MOD(ROW(),2)=0)</formula>
    </cfRule>
    <cfRule type="expression" dxfId="109" priority="120" stopIfTrue="1">
      <formula>AND(AND(WEEKDAY($A10)&gt;1,WEEKDAY($A10)&lt;7),MOD(ROW(),2)=0)</formula>
    </cfRule>
    <cfRule type="expression" dxfId="108" priority="119" stopIfTrue="1">
      <formula>AND(OR(WEEKDAY($A10)=1,WEEKDAY($A10)=7),MOD(ROW(),2)&lt;&gt;0)</formula>
    </cfRule>
    <cfRule type="expression" dxfId="107" priority="118" stopIfTrue="1">
      <formula>AND(OR(WEEKDAY($A10)=1,WEEKDAY($A10)=7),MOD(ROW(),2)=0)</formula>
    </cfRule>
    <cfRule type="expression" dxfId="106" priority="117" stopIfTrue="1">
      <formula>AND(AND(WEEKDAY($A10)&gt;1,WEEKDAY($A10)&lt;7),MOD(ROW(),2)=0)</formula>
    </cfRule>
    <cfRule type="expression" dxfId="105" priority="116" stopIfTrue="1">
      <formula>AND(OR(WEEKDAY($A10)=1,WEEKDAY($A10)=7),MOD(ROW(),2)&lt;&gt;0)</formula>
    </cfRule>
    <cfRule type="expression" dxfId="104" priority="114" stopIfTrue="1">
      <formula>AND(AND(WEEKDAY($A10)&gt;1,WEEKDAY($A10)&lt;7),MOD(ROW(),2)=0)</formula>
    </cfRule>
    <cfRule type="expression" dxfId="103" priority="113" stopIfTrue="1">
      <formula>AND(OR(WEEKDAY($A10)=1,WEEKDAY($A10)=7),MOD(ROW(),2)&lt;&gt;0)</formula>
    </cfRule>
    <cfRule type="expression" dxfId="102" priority="112" stopIfTrue="1">
      <formula>AND(OR(WEEKDAY($A10)=1,WEEKDAY($A10)=7),MOD(ROW(),2)=0)</formula>
    </cfRule>
    <cfRule type="expression" dxfId="101" priority="111" stopIfTrue="1">
      <formula>AND(AND(WEEKDAY($A10)&gt;1,WEEKDAY($A10)&lt;7),MOD(ROW(),2)=0)</formula>
    </cfRule>
    <cfRule type="expression" dxfId="100" priority="110" stopIfTrue="1">
      <formula>AND(OR(WEEKDAY($A10)=1,WEEKDAY($A10)=7),MOD(ROW(),2)&lt;&gt;0)</formula>
    </cfRule>
    <cfRule type="expression" dxfId="99" priority="109" stopIfTrue="1">
      <formula>AND(OR(WEEKDAY($A10)=1,WEEKDAY($A10)=7),MOD(ROW(),2)=0)</formula>
    </cfRule>
    <cfRule type="expression" dxfId="98" priority="108" stopIfTrue="1">
      <formula>AND(AND(WEEKDAY($A10)&gt;1,WEEKDAY($A10)&lt;7),MOD(ROW(),2)=0)</formula>
    </cfRule>
    <cfRule type="expression" dxfId="97" priority="107" stopIfTrue="1">
      <formula>AND(OR(WEEKDAY($A10)=1,WEEKDAY($A10)=7),MOD(ROW(),2)&lt;&gt;0)</formula>
    </cfRule>
    <cfRule type="expression" dxfId="96" priority="106" stopIfTrue="1">
      <formula>AND(OR(WEEKDAY($A10)=1,WEEKDAY($A10)=7),MOD(ROW(),2)=0)</formula>
    </cfRule>
    <cfRule type="expression" dxfId="95" priority="101" stopIfTrue="1">
      <formula>AND(OR(WEEKDAY($A10)=1,WEEKDAY($A10)=7),MOD(ROW(),2)&lt;&gt;0)</formula>
    </cfRule>
    <cfRule type="expression" dxfId="94" priority="97" stopIfTrue="1">
      <formula>AND(OR(WEEKDAY($A10)=1,WEEKDAY($A10)=7),MOD(ROW(),2)=0)</formula>
    </cfRule>
    <cfRule type="expression" dxfId="93" priority="100" stopIfTrue="1">
      <formula>AND(OR(WEEKDAY($A10)=1,WEEKDAY($A10)=7),MOD(ROW(),2)=0)</formula>
    </cfRule>
    <cfRule type="expression" dxfId="92" priority="141" stopIfTrue="1">
      <formula>AND(AND(WEEKDAY($A10)&gt;1,WEEKDAY($A10)&lt;7),MOD(ROW(),2)=0)</formula>
    </cfRule>
    <cfRule type="expression" dxfId="91" priority="115" stopIfTrue="1">
      <formula>AND(OR(WEEKDAY($A10)=1,WEEKDAY($A10)=7),MOD(ROW(),2)=0)</formula>
    </cfRule>
    <cfRule type="expression" dxfId="90" priority="99" stopIfTrue="1">
      <formula>AND(AND(WEEKDAY($A10)&gt;1,WEEKDAY($A10)&lt;7),MOD(ROW(),2)=0)</formula>
    </cfRule>
    <cfRule type="expression" dxfId="89" priority="140" stopIfTrue="1">
      <formula>AND(OR(WEEKDAY($A10)=1,WEEKDAY($A10)=7),MOD(ROW(),2)&lt;&gt;0)</formula>
    </cfRule>
    <cfRule type="expression" dxfId="88" priority="102" stopIfTrue="1">
      <formula>AND(AND(WEEKDAY($A10)&gt;1,WEEKDAY($A10)&lt;7),MOD(ROW(),2)=0)</formula>
    </cfRule>
    <cfRule type="expression" dxfId="87" priority="103" stopIfTrue="1">
      <formula>AND(OR(WEEKDAY($A10)=1,WEEKDAY($A10)=7),MOD(ROW(),2)=0)</formula>
    </cfRule>
    <cfRule type="expression" dxfId="86" priority="104" stopIfTrue="1">
      <formula>AND(OR(WEEKDAY($A10)=1,WEEKDAY($A10)=7),MOD(ROW(),2)&lt;&gt;0)</formula>
    </cfRule>
    <cfRule type="expression" dxfId="85" priority="105" stopIfTrue="1">
      <formula>AND(AND(WEEKDAY($A10)&gt;1,WEEKDAY($A10)&lt;7),MOD(ROW(),2)=0)</formula>
    </cfRule>
    <cfRule type="expression" dxfId="84" priority="98" stopIfTrue="1">
      <formula>AND(OR(WEEKDAY($A10)=1,WEEKDAY($A10)=7),MOD(ROW(),2)&lt;&gt;0)</formula>
    </cfRule>
  </conditionalFormatting>
  <conditionalFormatting sqref="H40">
    <cfRule type="expression" dxfId="83" priority="582" stopIfTrue="1">
      <formula>AND(AND(WEEKDAY($A40)&gt;1,WEEKDAY($A40)&lt;7),MOD(ROW(),2)=0)</formula>
    </cfRule>
    <cfRule type="expression" dxfId="82" priority="581" stopIfTrue="1">
      <formula>AND(OR(WEEKDAY($A40)=1,WEEKDAY($A40)=7),MOD(ROW(),2)&lt;&gt;0)</formula>
    </cfRule>
    <cfRule type="expression" dxfId="81" priority="580" stopIfTrue="1">
      <formula>AND(OR(WEEKDAY($A40)=1,WEEKDAY($A40)=7),MOD(ROW(),2)=0)</formula>
    </cfRule>
    <cfRule type="expression" dxfId="80" priority="576" stopIfTrue="1">
      <formula>AND(AND(WEEKDAY($A40)&gt;1,WEEKDAY($A40)&lt;7),MOD(ROW(),2)=0)</formula>
    </cfRule>
    <cfRule type="expression" dxfId="79" priority="575" stopIfTrue="1">
      <formula>AND(OR(WEEKDAY($A40)=1,WEEKDAY($A40)=7),MOD(ROW(),2)&lt;&gt;0)</formula>
    </cfRule>
    <cfRule type="expression" dxfId="78" priority="574" stopIfTrue="1">
      <formula>AND(OR(WEEKDAY($A40)=1,WEEKDAY($A40)=7),MOD(ROW(),2)=0)</formula>
    </cfRule>
    <cfRule type="expression" dxfId="77" priority="578" stopIfTrue="1">
      <formula>AND(OR(WEEKDAY($A40)=1,WEEKDAY($A40)=7),MOD(ROW(),2)&lt;&gt;0)</formula>
    </cfRule>
    <cfRule type="expression" dxfId="76" priority="577" stopIfTrue="1">
      <formula>AND(OR(WEEKDAY($A40)=1,WEEKDAY($A40)=7),MOD(ROW(),2)=0)</formula>
    </cfRule>
    <cfRule type="expression" dxfId="75" priority="579" stopIfTrue="1">
      <formula>AND(AND(WEEKDAY($A40)&gt;1,WEEKDAY($A40)&lt;7),MOD(ROW(),2)=0)</formula>
    </cfRule>
  </conditionalFormatting>
  <conditionalFormatting sqref="H11:N11 H12:V39 H10:H11">
    <cfRule type="expression" dxfId="74" priority="67" stopIfTrue="1">
      <formula>AND(OR(WEEKDAY($A10)=1,WEEKDAY($A10)=7),MOD(ROW(),2)=0)</formula>
    </cfRule>
    <cfRule type="expression" dxfId="73" priority="68" stopIfTrue="1">
      <formula>AND(OR(WEEKDAY($A10)=1,WEEKDAY($A10)=7),MOD(ROW(),2)&lt;&gt;0)</formula>
    </cfRule>
    <cfRule type="expression" dxfId="72" priority="69" stopIfTrue="1">
      <formula>AND(AND(WEEKDAY($A10)&gt;1,WEEKDAY($A10)&lt;7),MOD(ROW(),2)=0)</formula>
    </cfRule>
  </conditionalFormatting>
  <conditionalFormatting sqref="O12:O39">
    <cfRule type="expression" dxfId="71" priority="82" stopIfTrue="1">
      <formula>AND(OR(WEEKDAY($A12)=1,WEEKDAY($A12)=7),MOD(ROW(),2)=0)</formula>
    </cfRule>
    <cfRule type="expression" dxfId="70" priority="81" stopIfTrue="1">
      <formula>AND(AND(WEEKDAY($A12)&gt;1,WEEKDAY($A12)&lt;7),MOD(ROW(),2)=0)</formula>
    </cfRule>
    <cfRule type="expression" dxfId="69" priority="80" stopIfTrue="1">
      <formula>AND(OR(WEEKDAY($A12)=1,WEEKDAY($A12)=7),MOD(ROW(),2)&lt;&gt;0)</formula>
    </cfRule>
    <cfRule type="expression" dxfId="68" priority="79" stopIfTrue="1">
      <formula>AND(OR(WEEKDAY($A12)=1,WEEKDAY($A12)=7),MOD(ROW(),2)=0)</formula>
    </cfRule>
    <cfRule type="expression" dxfId="67" priority="78" stopIfTrue="1">
      <formula>AND(AND(WEEKDAY($A12)&gt;1,WEEKDAY($A12)&lt;7),MOD(ROW(),2)=0)</formula>
    </cfRule>
    <cfRule type="expression" dxfId="66" priority="77" stopIfTrue="1">
      <formula>AND(OR(WEEKDAY($A12)=1,WEEKDAY($A12)=7),MOD(ROW(),2)&lt;&gt;0)</formula>
    </cfRule>
    <cfRule type="expression" dxfId="65" priority="76" stopIfTrue="1">
      <formula>AND(OR(WEEKDAY($A12)=1,WEEKDAY($A12)=7),MOD(ROW(),2)=0)</formula>
    </cfRule>
    <cfRule type="expression" dxfId="64" priority="83" stopIfTrue="1">
      <formula>AND(OR(WEEKDAY($A12)=1,WEEKDAY($A12)=7),MOD(ROW(),2)&lt;&gt;0)</formula>
    </cfRule>
    <cfRule type="expression" dxfId="63" priority="84" stopIfTrue="1">
      <formula>AND(AND(WEEKDAY($A12)&gt;1,WEEKDAY($A12)&lt;7),MOD(ROW(),2)=0)</formula>
    </cfRule>
  </conditionalFormatting>
  <conditionalFormatting sqref="O12:O40">
    <cfRule type="expression" dxfId="62" priority="87" stopIfTrue="1">
      <formula>AND(AND(WEEKDAY($A12)&gt;1,WEEKDAY($A12)&lt;7),MOD(ROW(),2)=0)</formula>
    </cfRule>
    <cfRule type="expression" dxfId="61" priority="86" stopIfTrue="1">
      <formula>AND(OR(WEEKDAY($A12)=1,WEEKDAY($A12)=7),MOD(ROW(),2)&lt;&gt;0)</formula>
    </cfRule>
    <cfRule type="expression" dxfId="60" priority="85" stopIfTrue="1">
      <formula>AND(OR(WEEKDAY($A12)=1,WEEKDAY($A12)=7),MOD(ROW(),2)=0)</formula>
    </cfRule>
  </conditionalFormatting>
  <conditionalFormatting sqref="O40">
    <cfRule type="expression" dxfId="59" priority="510" stopIfTrue="1">
      <formula>AND(AND(WEEKDAY($A40)&gt;1,WEEKDAY($A40)&lt;7),MOD(ROW(),2)=0)</formula>
    </cfRule>
    <cfRule type="expression" dxfId="58" priority="509" stopIfTrue="1">
      <formula>AND(OR(WEEKDAY($A40)=1,WEEKDAY($A40)=7),MOD(ROW(),2)&lt;&gt;0)</formula>
    </cfRule>
    <cfRule type="expression" dxfId="57" priority="508" stopIfTrue="1">
      <formula>AND(OR(WEEKDAY($A40)=1,WEEKDAY($A40)=7),MOD(ROW(),2)=0)</formula>
    </cfRule>
  </conditionalFormatting>
  <conditionalFormatting sqref="O12:V39">
    <cfRule type="expression" dxfId="56" priority="320" stopIfTrue="1">
      <formula>AND(OR(WEEKDAY($A12)=1,WEEKDAY($A12)=7),MOD(ROW(),2)&lt;&gt;0)</formula>
    </cfRule>
    <cfRule type="expression" dxfId="55" priority="319" stopIfTrue="1">
      <formula>AND(OR(WEEKDAY($A12)=1,WEEKDAY($A12)=7),MOD(ROW(),2)=0)</formula>
    </cfRule>
    <cfRule type="expression" dxfId="54" priority="318" stopIfTrue="1">
      <formula>AND(AND(WEEKDAY($A12)&gt;1,WEEKDAY($A12)&lt;7),MOD(ROW(),2)=0)</formula>
    </cfRule>
    <cfRule type="expression" dxfId="53" priority="321" stopIfTrue="1">
      <formula>AND(AND(WEEKDAY($A12)&gt;1,WEEKDAY($A12)&lt;7),MOD(ROW(),2)=0)</formula>
    </cfRule>
    <cfRule type="expression" dxfId="52" priority="317" stopIfTrue="1">
      <formula>AND(OR(WEEKDAY($A12)=1,WEEKDAY($A12)=7),MOD(ROW(),2)&lt;&gt;0)</formula>
    </cfRule>
    <cfRule type="expression" dxfId="51" priority="316" stopIfTrue="1">
      <formula>AND(OR(WEEKDAY($A12)=1,WEEKDAY($A12)=7),MOD(ROW(),2)=0)</formula>
    </cfRule>
  </conditionalFormatting>
  <conditionalFormatting sqref="O12:V39">
    <cfRule type="expression" dxfId="50" priority="62" stopIfTrue="1">
      <formula>AND(OR(WEEKDAY($A12)=1,WEEKDAY($A12)=7),MOD(ROW(),2)&lt;&gt;0)</formula>
    </cfRule>
    <cfRule type="expression" dxfId="49" priority="63" stopIfTrue="1">
      <formula>AND(AND(WEEKDAY($A12)&gt;1,WEEKDAY($A12)&lt;7),MOD(ROW(),2)=0)</formula>
    </cfRule>
    <cfRule type="expression" dxfId="48" priority="61" stopIfTrue="1">
      <formula>AND(OR(WEEKDAY($A12)=1,WEEKDAY($A12)=7),MOD(ROW(),2)=0)</formula>
    </cfRule>
    <cfRule type="expression" dxfId="47" priority="64" stopIfTrue="1">
      <formula>AND(OR(WEEKDAY($A12)=1,WEEKDAY($A12)=7),MOD(ROW(),2)=0)</formula>
    </cfRule>
    <cfRule type="expression" dxfId="46" priority="66" stopIfTrue="1">
      <formula>AND(AND(WEEKDAY($A12)&gt;1,WEEKDAY($A12)&lt;7),MOD(ROW(),2)=0)</formula>
    </cfRule>
    <cfRule type="expression" dxfId="45" priority="65" stopIfTrue="1">
      <formula>AND(OR(WEEKDAY($A12)=1,WEEKDAY($A12)=7),MOD(ROW(),2)&lt;&gt;0)</formula>
    </cfRule>
  </conditionalFormatting>
  <conditionalFormatting sqref="W29:W37">
    <cfRule type="expression" dxfId="44" priority="843" stopIfTrue="1">
      <formula>AND(AND(WEEKDAY($A29)&gt;1,WEEKDAY($A29)&lt;7),MOD(ROW(),2)=0)</formula>
    </cfRule>
    <cfRule type="expression" dxfId="43" priority="842" stopIfTrue="1">
      <formula>AND(OR(WEEKDAY($A29)=1,WEEKDAY($A29)=7),MOD(ROW(),2)&lt;&gt;0)</formula>
    </cfRule>
    <cfRule type="expression" dxfId="42" priority="841" stopIfTrue="1">
      <formula>AND(OR(WEEKDAY($A29)=1,WEEKDAY($A29)=7),MOD(ROW(),2)=0)</formula>
    </cfRule>
  </conditionalFormatting>
  <conditionalFormatting sqref="W31">
    <cfRule type="expression" dxfId="41" priority="840" stopIfTrue="1">
      <formula>AND(AND(WEEKDAY($A31)&gt;1,WEEKDAY($A31)&lt;7),MOD(ROW(),2)=0)</formula>
    </cfRule>
    <cfRule type="expression" dxfId="40" priority="839" stopIfTrue="1">
      <formula>AND(OR(WEEKDAY($A31)=1,WEEKDAY($A31)=7),MOD(ROW(),2)&lt;&gt;0)</formula>
    </cfRule>
    <cfRule type="expression" dxfId="39" priority="838" stopIfTrue="1">
      <formula>AND(OR(WEEKDAY($A31)=1,WEEKDAY($A31)=7),MOD(ROW(),2)=0)</formula>
    </cfRule>
  </conditionalFormatting>
  <conditionalFormatting sqref="W33 E40:H40">
    <cfRule type="expression" dxfId="38" priority="831" stopIfTrue="1">
      <formula>AND(AND(WEEKDAY($A33)&gt;1,WEEKDAY($A33)&lt;7),MOD(ROW(),2)=0)</formula>
    </cfRule>
    <cfRule type="expression" dxfId="37" priority="830" stopIfTrue="1">
      <formula>AND(OR(WEEKDAY($A33)=1,WEEKDAY($A33)=7),MOD(ROW(),2)&lt;&gt;0)</formula>
    </cfRule>
  </conditionalFormatting>
  <conditionalFormatting sqref="W35:W37 E40:H40">
    <cfRule type="expression" dxfId="36" priority="684" stopIfTrue="1">
      <formula>AND(AND(WEEKDAY($A35)&gt;1,WEEKDAY($A35)&lt;7),MOD(ROW(),2)=0)</formula>
    </cfRule>
    <cfRule type="expression" dxfId="35" priority="683" stopIfTrue="1">
      <formula>AND(OR(WEEKDAY($A35)=1,WEEKDAY($A35)=7),MOD(ROW(),2)&lt;&gt;0)</formula>
    </cfRule>
  </conditionalFormatting>
  <conditionalFormatting sqref="W36 E40:H40">
    <cfRule type="expression" dxfId="34" priority="671" stopIfTrue="1">
      <formula>AND(OR(WEEKDAY($A36)=1,WEEKDAY($A36)=7),MOD(ROW(),2)&lt;&gt;0)</formula>
    </cfRule>
    <cfRule type="expression" dxfId="33" priority="672" stopIfTrue="1">
      <formula>AND(AND(WEEKDAY($A36)&gt;1,WEEKDAY($A36)&lt;7),MOD(ROW(),2)=0)</formula>
    </cfRule>
  </conditionalFormatting>
  <conditionalFormatting sqref="O10">
    <cfRule type="expression" dxfId="32" priority="28" stopIfTrue="1">
      <formula>AND(OR(WEEKDAY($A10)=1,WEEKDAY($A10)=7),MOD(ROW(),2)=0)</formula>
    </cfRule>
    <cfRule type="expression" dxfId="31" priority="29" stopIfTrue="1">
      <formula>AND(OR(WEEKDAY($A10)=1,WEEKDAY($A10)=7),MOD(ROW(),2)&lt;&gt;0)</formula>
    </cfRule>
    <cfRule type="expression" dxfId="30" priority="30" stopIfTrue="1">
      <formula>AND(AND(WEEKDAY($A10)&gt;1,WEEKDAY($A10)&lt;7),MOD(ROW(),2)=0)</formula>
    </cfRule>
  </conditionalFormatting>
  <conditionalFormatting sqref="O10">
    <cfRule type="expression" dxfId="29" priority="31" stopIfTrue="1">
      <formula>AND(OR(WEEKDAY($A10)=1,WEEKDAY($A10)=7),MOD(ROW(),2)=0)</formula>
    </cfRule>
    <cfRule type="expression" dxfId="28" priority="32" stopIfTrue="1">
      <formula>AND(OR(WEEKDAY($A10)=1,WEEKDAY($A10)=7),MOD(ROW(),2)&lt;&gt;0)</formula>
    </cfRule>
    <cfRule type="expression" dxfId="27" priority="33" stopIfTrue="1">
      <formula>AND(AND(WEEKDAY($A10)&gt;1,WEEKDAY($A10)&lt;7),MOD(ROW(),2)=0)</formula>
    </cfRule>
  </conditionalFormatting>
  <conditionalFormatting sqref="O11:V11">
    <cfRule type="expression" dxfId="26" priority="7" stopIfTrue="1">
      <formula>AND(OR(WEEKDAY($A11)=1,WEEKDAY($A11)=7),MOD(ROW(),2)=0)</formula>
    </cfRule>
    <cfRule type="expression" dxfId="25" priority="8" stopIfTrue="1">
      <formula>AND(OR(WEEKDAY($A11)=1,WEEKDAY($A11)=7),MOD(ROW(),2)&lt;&gt;0)</formula>
    </cfRule>
    <cfRule type="expression" dxfId="24" priority="9" stopIfTrue="1">
      <formula>AND(AND(WEEKDAY($A11)&gt;1,WEEKDAY($A11)&lt;7),MOD(ROW(),2)=0)</formula>
    </cfRule>
  </conditionalFormatting>
  <conditionalFormatting sqref="O11">
    <cfRule type="expression" dxfId="23" priority="10" stopIfTrue="1">
      <formula>AND(OR(WEEKDAY($A11)=1,WEEKDAY($A11)=7),MOD(ROW(),2)=0)</formula>
    </cfRule>
    <cfRule type="expression" dxfId="22" priority="11" stopIfTrue="1">
      <formula>AND(OR(WEEKDAY($A11)=1,WEEKDAY($A11)=7),MOD(ROW(),2)&lt;&gt;0)</formula>
    </cfRule>
    <cfRule type="expression" dxfId="21" priority="12" stopIfTrue="1">
      <formula>AND(AND(WEEKDAY($A11)&gt;1,WEEKDAY($A11)&lt;7),MOD(ROW(),2)=0)</formula>
    </cfRule>
    <cfRule type="expression" dxfId="20" priority="13" stopIfTrue="1">
      <formula>AND(OR(WEEKDAY($A11)=1,WEEKDAY($A11)=7),MOD(ROW(),2)=0)</formula>
    </cfRule>
    <cfRule type="expression" dxfId="19" priority="14" stopIfTrue="1">
      <formula>AND(OR(WEEKDAY($A11)=1,WEEKDAY($A11)=7),MOD(ROW(),2)&lt;&gt;0)</formula>
    </cfRule>
    <cfRule type="expression" dxfId="18" priority="15" stopIfTrue="1">
      <formula>AND(AND(WEEKDAY($A11)&gt;1,WEEKDAY($A11)&lt;7),MOD(ROW(),2)=0)</formula>
    </cfRule>
    <cfRule type="expression" dxfId="17" priority="16" stopIfTrue="1">
      <formula>AND(OR(WEEKDAY($A11)=1,WEEKDAY($A11)=7),MOD(ROW(),2)=0)</formula>
    </cfRule>
    <cfRule type="expression" dxfId="16" priority="17" stopIfTrue="1">
      <formula>AND(OR(WEEKDAY($A11)=1,WEEKDAY($A11)=7),MOD(ROW(),2)&lt;&gt;0)</formula>
    </cfRule>
    <cfRule type="expression" dxfId="15" priority="18" stopIfTrue="1">
      <formula>AND(AND(WEEKDAY($A11)&gt;1,WEEKDAY($A11)&lt;7),MOD(ROW(),2)=0)</formula>
    </cfRule>
  </conditionalFormatting>
  <conditionalFormatting sqref="O11">
    <cfRule type="expression" dxfId="14" priority="19" stopIfTrue="1">
      <formula>AND(OR(WEEKDAY($A11)=1,WEEKDAY($A11)=7),MOD(ROW(),2)=0)</formula>
    </cfRule>
    <cfRule type="expression" dxfId="13" priority="20" stopIfTrue="1">
      <formula>AND(OR(WEEKDAY($A11)=1,WEEKDAY($A11)=7),MOD(ROW(),2)&lt;&gt;0)</formula>
    </cfRule>
    <cfRule type="expression" dxfId="12" priority="21" stopIfTrue="1">
      <formula>AND(AND(WEEKDAY($A11)&gt;1,WEEKDAY($A11)&lt;7),MOD(ROW(),2)=0)</formula>
    </cfRule>
  </conditionalFormatting>
  <conditionalFormatting sqref="O11:V11">
    <cfRule type="expression" dxfId="11" priority="22" stopIfTrue="1">
      <formula>AND(OR(WEEKDAY($A11)=1,WEEKDAY($A11)=7),MOD(ROW(),2)=0)</formula>
    </cfRule>
    <cfRule type="expression" dxfId="10" priority="23" stopIfTrue="1">
      <formula>AND(OR(WEEKDAY($A11)=1,WEEKDAY($A11)=7),MOD(ROW(),2)&lt;&gt;0)</formula>
    </cfRule>
    <cfRule type="expression" dxfId="9" priority="24" stopIfTrue="1">
      <formula>AND(AND(WEEKDAY($A11)&gt;1,WEEKDAY($A11)&lt;7),MOD(ROW(),2)=0)</formula>
    </cfRule>
    <cfRule type="expression" dxfId="8" priority="25" stopIfTrue="1">
      <formula>AND(OR(WEEKDAY($A11)=1,WEEKDAY($A11)=7),MOD(ROW(),2)=0)</formula>
    </cfRule>
    <cfRule type="expression" dxfId="7" priority="26" stopIfTrue="1">
      <formula>AND(OR(WEEKDAY($A11)=1,WEEKDAY($A11)=7),MOD(ROW(),2)&lt;&gt;0)</formula>
    </cfRule>
    <cfRule type="expression" dxfId="6" priority="27" stopIfTrue="1">
      <formula>AND(AND(WEEKDAY($A11)&gt;1,WEEKDAY($A11)&lt;7),MOD(ROW(),2)=0)</formula>
    </cfRule>
  </conditionalFormatting>
  <conditionalFormatting sqref="O11:V11">
    <cfRule type="expression" dxfId="5" priority="1" stopIfTrue="1">
      <formula>AND(OR(WEEKDAY($A11)=1,WEEKDAY($A11)=7),MOD(ROW(),2)=0)</formula>
    </cfRule>
    <cfRule type="expression" dxfId="4" priority="2" stopIfTrue="1">
      <formula>AND(OR(WEEKDAY($A11)=1,WEEKDAY($A11)=7),MOD(ROW(),2)&lt;&gt;0)</formula>
    </cfRule>
    <cfRule type="expression" dxfId="3" priority="3" stopIfTrue="1">
      <formula>AND(AND(WEEKDAY($A11)&gt;1,WEEKDAY($A11)&lt;7),MOD(ROW(),2)=0)</formula>
    </cfRule>
    <cfRule type="expression" dxfId="2" priority="4" stopIfTrue="1">
      <formula>AND(OR(WEEKDAY($A11)=1,WEEKDAY($A11)=7),MOD(ROW(),2)=0)</formula>
    </cfRule>
    <cfRule type="expression" dxfId="1" priority="5" stopIfTrue="1">
      <formula>AND(OR(WEEKDAY($A11)=1,WEEKDAY($A11)=7),MOD(ROW(),2)&lt;&gt;0)</formula>
    </cfRule>
    <cfRule type="expression" dxfId="0" priority="6" stopIfTrue="1">
      <formula>AND(AND(WEEKDAY($A11)&gt;1,WEEKDAY($A11)&lt;7),MOD(ROW(),2)=0)</formula>
    </cfRule>
  </conditionalFormatting>
  <dataValidations count="1">
    <dataValidation type="list" allowBlank="1" showInputMessage="1" showErrorMessage="1" sqref="A1:E2">
      <formula1>" 3HS SISTEMAS,CUADRO SERVIÇOS, MEGAWATT SISTEMAS"</formula1>
    </dataValidation>
  </dataValidation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7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Normal="100" workbookViewId="0">
      <selection activeCell="H13" sqref="H13"/>
    </sheetView>
  </sheetViews>
  <sheetFormatPr defaultColWidth="9.109375" defaultRowHeight="13.2" x14ac:dyDescent="0.25"/>
  <cols>
    <col min="1" max="1" width="23.109375" style="103" bestFit="1" customWidth="1"/>
    <col min="2" max="2" width="17.33203125" style="103" bestFit="1" customWidth="1"/>
    <col min="3" max="3" width="12.21875" style="103" bestFit="1" customWidth="1"/>
    <col min="4" max="4" width="11.77734375" style="103" bestFit="1" customWidth="1"/>
    <col min="5" max="5" width="15.77734375" style="103" bestFit="1" customWidth="1"/>
    <col min="6" max="16384" width="9.109375" style="103"/>
  </cols>
  <sheetData>
    <row r="1" spans="1:3" ht="13.8" thickBot="1" x14ac:dyDescent="0.3">
      <c r="A1" s="179" t="s">
        <v>43</v>
      </c>
      <c r="B1" s="180"/>
      <c r="C1" s="181"/>
    </row>
    <row r="2" spans="1:3" x14ac:dyDescent="0.25">
      <c r="A2" s="104"/>
      <c r="B2" s="105" t="s">
        <v>44</v>
      </c>
      <c r="C2" s="106" t="s">
        <v>45</v>
      </c>
    </row>
    <row r="3" spans="1:3" x14ac:dyDescent="0.25">
      <c r="A3" s="107" t="s">
        <v>46</v>
      </c>
      <c r="B3" s="108">
        <f>'FICHA TEMPO'!K41</f>
        <v>0</v>
      </c>
      <c r="C3" s="109">
        <f>B3</f>
        <v>0</v>
      </c>
    </row>
    <row r="4" spans="1:3" x14ac:dyDescent="0.25">
      <c r="A4" s="107" t="s">
        <v>47</v>
      </c>
      <c r="B4" s="108">
        <f>'FICHA TEMPO'!L41</f>
        <v>0</v>
      </c>
      <c r="C4" s="109">
        <f>B4*1.5</f>
        <v>0</v>
      </c>
    </row>
    <row r="5" spans="1:3" x14ac:dyDescent="0.25">
      <c r="A5" s="107" t="s">
        <v>48</v>
      </c>
      <c r="B5" s="108">
        <f>'FICHA TEMPO'!M41</f>
        <v>0</v>
      </c>
      <c r="C5" s="109">
        <f>B5*2</f>
        <v>0</v>
      </c>
    </row>
    <row r="6" spans="1:3" ht="13.8" thickBot="1" x14ac:dyDescent="0.3">
      <c r="A6" s="110" t="s">
        <v>49</v>
      </c>
      <c r="B6" s="111">
        <f>'FICHA TEMPO'!N41</f>
        <v>0</v>
      </c>
      <c r="C6" s="112">
        <f>B6*0.3</f>
        <v>0</v>
      </c>
    </row>
    <row r="7" spans="1:3" ht="13.8" thickBot="1" x14ac:dyDescent="0.3">
      <c r="A7" s="182" t="s">
        <v>50</v>
      </c>
      <c r="B7" s="183"/>
      <c r="C7" s="113">
        <f>SUM(C3:C6)</f>
        <v>0</v>
      </c>
    </row>
  </sheetData>
  <sheetProtection sheet="1" objects="1" scenarios="1"/>
  <mergeCells count="2">
    <mergeCell ref="A1:C1"/>
    <mergeCell ref="A7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FICHA TEMPO</vt:lpstr>
      <vt:lpstr>FECHAMENTO_HH</vt:lpstr>
      <vt:lpstr>'FICHA TEMPO'!Area_de_impressao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Silva</dc:creator>
  <cp:lastModifiedBy>AUTOMAÇÃO</cp:lastModifiedBy>
  <dcterms:created xsi:type="dcterms:W3CDTF">2025-07-23T00:39:22Z</dcterms:created>
  <dcterms:modified xsi:type="dcterms:W3CDTF">2026-04-12T19:55:12Z</dcterms:modified>
</cp:coreProperties>
</file>